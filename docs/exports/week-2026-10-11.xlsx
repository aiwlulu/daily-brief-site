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重點" sheetId="1" state="visible" r:id="rId1"/>
    <sheet xmlns:r="http://schemas.openxmlformats.org/officeDocument/2006/relationships" name="市場動向" sheetId="2" state="visible" r:id="rId2"/>
    <sheet xmlns:r="http://schemas.openxmlformats.org/officeDocument/2006/relationships" name="摘要明細" sheetId="3" state="visible" r:id="rId3"/>
    <sheet xmlns:r="http://schemas.openxmlformats.org/officeDocument/2006/relationships" name="數值明細" sheetId="4" state="visible" r:id="rId4"/>
    <sheet xmlns:r="http://schemas.openxmlformats.org/officeDocument/2006/relationships" name="欄位說明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Noto Sans CJK TC"/>
      <color rgb="FF203C34"/>
      <sz val="12"/>
    </font>
    <font>
      <name val="Noto Sans CJK TC"/>
      <b val="1"/>
      <color rgb="FFFFFFFF"/>
      <sz val="12"/>
    </font>
    <font>
      <name val="Noto Sans CJK TC"/>
      <b val="1"/>
      <color rgb="00203C34"/>
      <sz val="16"/>
    </font>
    <font>
      <name val="Noto Sans CJK TC"/>
      <color rgb="005E7268"/>
      <sz val="10"/>
    </font>
    <font>
      <name val="Noto Sans CJK TC"/>
      <b val="1"/>
      <color rgb="00203C34"/>
      <sz val="13"/>
    </font>
    <font>
      <name val="Noto Sans CJK TC"/>
      <color rgb="00203C34"/>
      <sz val="11"/>
    </font>
    <font>
      <name val="Noto Sans CJK TC"/>
      <b val="1"/>
      <color rgb="005E7268"/>
      <sz val="12"/>
    </font>
    <font>
      <name val="Noto Sans CJK TC"/>
      <color rgb="001F6B56"/>
      <sz val="12"/>
      <u val="single"/>
    </font>
  </fonts>
  <fills count="5">
    <fill>
      <patternFill/>
    </fill>
    <fill>
      <patternFill patternType="gray125"/>
    </fill>
    <fill>
      <patternFill patternType="solid">
        <fgColor rgb="FF193D34"/>
      </patternFill>
    </fill>
    <fill>
      <patternFill patternType="solid">
        <fgColor rgb="FFFFFF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/>
      <right/>
      <top/>
      <bottom style="thin">
        <color rgb="FFDCE4DE"/>
      </bottom>
      <diagonal/>
    </border>
    <border>
      <left/>
      <right/>
      <top style="thin">
        <color rgb="FFDCE4DE"/>
      </top>
      <bottom style="thin">
        <color rgb="FFDCE4DE"/>
      </bottom>
      <diagonal/>
    </border>
    <border>
      <left/>
      <right/>
      <top style="thin">
        <color rgb="FFDCE4DE"/>
      </top>
      <bottom/>
      <diagonal/>
    </border>
    <border>
      <bottom style="thin">
        <color rgb="00DCE4DE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top" wrapText="1"/>
    </xf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164" fontId="1" fillId="3" borderId="2" applyAlignment="1" pivotButton="0" quotePrefix="0" xfId="0">
      <alignment vertical="top" wrapText="1"/>
    </xf>
    <xf numFmtId="164" fontId="1" fillId="3" borderId="3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  <xf numFmtId="165" fontId="1" fillId="3" borderId="1" applyAlignment="1" pivotButton="0" quotePrefix="0" xfId="0">
      <alignment vertical="top" wrapText="1"/>
    </xf>
    <xf numFmtId="4" fontId="1" fillId="3" borderId="2" applyAlignment="1" pivotButton="0" quotePrefix="0" xfId="0">
      <alignment vertical="top" wrapText="1"/>
    </xf>
    <xf numFmtId="165" fontId="1" fillId="3" borderId="2" applyAlignment="1" pivotButton="0" quotePrefix="0" xfId="0">
      <alignment vertical="top" wrapText="1"/>
    </xf>
    <xf numFmtId="10" fontId="1" fillId="3" borderId="2" applyAlignment="1" pivotButton="0" quotePrefix="0" xfId="0">
      <alignment vertical="top" wrapText="1"/>
    </xf>
    <xf numFmtId="4" fontId="1" fillId="3" borderId="3" applyAlignment="1" pivotButton="0" quotePrefix="0" xfId="0">
      <alignment vertical="top" wrapText="1"/>
    </xf>
    <xf numFmtId="165" fontId="1" fillId="3" borderId="3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164" fontId="1" fillId="3" borderId="2" applyAlignment="1" pivotButton="0" quotePrefix="0" xfId="0">
      <alignment vertical="top" wrapText="1"/>
    </xf>
    <xf numFmtId="164" fontId="1" fillId="3" borderId="3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  <xf numFmtId="165" fontId="1" fillId="3" borderId="1" applyAlignment="1" pivotButton="0" quotePrefix="0" xfId="0">
      <alignment vertical="top" wrapText="1"/>
    </xf>
    <xf numFmtId="4" fontId="1" fillId="3" borderId="2" applyAlignment="1" pivotButton="0" quotePrefix="0" xfId="0">
      <alignment vertical="top" wrapText="1"/>
    </xf>
    <xf numFmtId="165" fontId="1" fillId="3" borderId="2" applyAlignment="1" pivotButton="0" quotePrefix="0" xfId="0">
      <alignment vertical="top" wrapText="1"/>
    </xf>
    <xf numFmtId="10" fontId="1" fillId="3" borderId="2" applyAlignment="1" pivotButton="0" quotePrefix="0" xfId="0">
      <alignment vertical="top" wrapText="1"/>
    </xf>
    <xf numFmtId="4" fontId="1" fillId="3" borderId="3" applyAlignment="1" pivotButton="0" quotePrefix="0" xfId="0">
      <alignment vertical="top" wrapText="1"/>
    </xf>
    <xf numFmtId="165" fontId="1" fillId="3" borderId="3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7" fillId="4" borderId="4" applyAlignment="1" pivotButton="0" quotePrefix="0" xfId="0">
      <alignment horizontal="right" vertical="top"/>
    </xf>
    <xf numFmtId="0" fontId="0" fillId="4" borderId="4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8" fillId="3" borderId="3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MarketEvents" displayName="MarketEvents" ref="A1:S6" headerRowCount="1" totalsRowCount="0" totalsRowShown="0">
  <autoFilter ref="A1:S6"/>
  <tableColumns count="19">
    <tableColumn id="1" name="刊期日期"/>
    <tableColumn id="2" name="事件日期"/>
    <tableColumn id="3" name="新聞 ID"/>
    <tableColumn id="4" name="國家"/>
    <tableColumn id="5" name="產業與趨勢"/>
    <tableColumn id="6" name="供應鏈環節"/>
    <tableColumn id="7" name="市場投資"/>
    <tableColumn id="8" name="市場需求"/>
    <tableColumn id="9" name="外商投資 FDI"/>
    <tableColumn id="10" name="標題"/>
    <tableColumn id="11" name="事件摘要"/>
    <tableColumn id="12" name="產業關聯"/>
    <tableColumn id="13" name="影響評估（自行填寫）"/>
    <tableColumn id="14" name="已公布時程"/>
    <tableColumn id="15" name="分析備註（自行填寫）"/>
    <tableColumn id="16" name="待確認事項"/>
    <tableColumn id="17" name="查證信心"/>
    <tableColumn id="18" name="日報連結"/>
    <tableColumn id="19" name="活動或專案地點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QuantitativeDetails" displayName="QuantitativeDetails" ref="A1:V21" headerRowCount="1" totalsRowCount="0" totalsRowShown="0">
  <autoFilter ref="A1:V21"/>
  <tableColumns count="22">
    <tableColumn id="1" name="刊期日期"/>
    <tableColumn id="2" name="事件日期"/>
    <tableColumn id="3" name="新聞 ID"/>
    <tableColumn id="4" name="國家"/>
    <tableColumn id="5" name="產業與趨勢"/>
    <tableColumn id="6" name="指標"/>
    <tableColumn id="7" name="資料性質"/>
    <tableColumn id="8" name="本期期間"/>
    <tableColumn id="9" name="本期值"/>
    <tableColumn id="10" name="單位"/>
    <tableColumn id="11" name="基期期間"/>
    <tableColumn id="12" name="基期值 Base"/>
    <tableColumn id="13" name="比較口徑"/>
    <tableColumn id="14" name="YoY percentage"/>
    <tableColumn id="15" name="QoQ percentage"/>
    <tableColumn id="16" name="絕對變動"/>
    <tableColumn id="17" name="百分點變動"/>
    <tableColumn id="18" name="計算變動率"/>
    <tableColumn id="19" name="基期與計算說明"/>
    <tableColumn id="20" name="數字歸屬"/>
    <tableColumn id="21" name="影響評估（自行填寫）"/>
    <tableColumn id="22" name="來源連結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FieldDefinitions" displayName="FieldDefinitions" ref="A1:B16" headerRowCount="1" totalsRowCount="0" totalsRowShown="0">
  <autoFilter ref="A1:B16"/>
  <tableColumns count="2">
    <tableColumn id="1" name="欄位／方法"/>
    <tableColumn id="2" name="定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aiwlulu.github.io/daily-brief-site/?view=week&amp;date=2026-10-17" TargetMode="External" Id="rId1"/><Relationship Type="http://schemas.openxmlformats.org/officeDocument/2006/relationships/hyperlink" Target="https://aiwlulu.github.io/daily-brief-site/?view=week&amp;date=2026-10-17" TargetMode="External" Id="rId2"/><Relationship Type="http://schemas.openxmlformats.org/officeDocument/2006/relationships/hyperlink" Target="https://aiwlulu.github.io/daily-brief-site/?view=week&amp;date=2026-10-17" TargetMode="External" Id="rId3"/><Relationship Type="http://schemas.openxmlformats.org/officeDocument/2006/relationships/hyperlink" Target="https://aiwlulu.github.io/daily-brief-site/?view=week&amp;date=2026-10-17" TargetMode="External" Id="rId4"/><Relationship Type="http://schemas.openxmlformats.org/officeDocument/2006/relationships/hyperlink" Target="https://aiwlulu.github.io/daily-brief-site/?view=week&amp;date=2026-10-17" TargetMode="External" Id="rId5"/><Relationship Type="http://schemas.openxmlformats.org/officeDocument/2006/relationships/table" Target="/xl/tables/table1.xml" Id="rId6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8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6" customWidth="1" min="2" max="2"/>
  </cols>
  <sheetData>
    <row r="1" ht="32" customHeight="1">
      <c r="A1" s="32" t="inlineStr">
        <is>
          <t>2026-10-11 至 2026-10-17 週報</t>
        </is>
      </c>
    </row>
    <row r="2" ht="34" customHeight="1">
      <c r="A2" s="33" t="inlineStr">
        <is>
          <t>本週精選主題依重要性排列。「重點」每個主題一列；「摘要明細」補充各則新聞的產業關聯。</t>
        </is>
      </c>
    </row>
    <row r="4" ht="64" customHeight="1">
      <c r="A4" s="34" t="n">
        <v>1</v>
      </c>
      <c r="B4" s="35" t="inlineStr">
        <is>
          <r>
            <rPr>
              <rFont val="Noto Sans CJK TC"/>
              <b val="1"/>
              <color rgb="00203C34"/>
              <sz val="13"/>
            </rPr>
            <t xml:space="preserve">台積電、美光與南亞科公布晶圓、HBM 和 DRAM 進展　10/13、10/16、10/17
</t>
          </r>
          <r>
            <rPr>
              <rFont val="Noto Sans CJK TC"/>
              <color rgb="00203C34"/>
              <sz val="11"/>
            </rPr>
            <t>台積電法說與美光 AATT2 開幕提供先進邏輯、HBM 與後段測試資訊，南亞科財報涵蓋一般 DRAM。各來源的產品、期間與產能口徑不同，未公布的新增產出及設備訂單仍未知。</t>
          </r>
        </is>
      </c>
    </row>
    <row r="5" ht="64" customHeight="1">
      <c r="A5" s="34" t="n">
        <v>2</v>
      </c>
      <c r="B5" s="35" t="inlineStr">
        <is>
          <r>
            <rPr>
              <rFont val="Noto Sans CJK TC"/>
              <b val="1"/>
              <color rgb="00203C34"/>
              <sz val="13"/>
            </rPr>
            <t xml:space="preserve">聖荷西 OCP 台廠展示高壓直流電源與液冷　10/12、10/13、10/17
</t>
          </r>
          <r>
            <rPr>
              <rFont val="Noto Sans CJK TC"/>
              <color rgb="00203C34"/>
              <sz val="11"/>
            </rPr>
            <t>台廠於美國加州聖荷西 OCP 展示機櫃、電源、備援與冷卻，本週另有台電投資及電源專利調查消息。展示額定值與實際部署量分開記錄，專利程序的結果仍待後續文件。</t>
          </r>
        </is>
      </c>
    </row>
    <row r="6" ht="64" customHeight="1">
      <c r="A6" s="34" t="n">
        <v>3</v>
      </c>
      <c r="B6" s="35" t="inlineStr">
        <is>
          <r>
            <rPr>
              <rFont val="Noto Sans CJK TC"/>
              <b val="1"/>
              <color rgb="00203C34"/>
              <sz val="13"/>
            </rPr>
            <t xml:space="preserve">台灣終端 AI、工廠合作與海外園區規劃　10/17
</t>
          </r>
          <r>
            <rPr>
              <rFont val="Noto Sans CJK TC"/>
              <color rgb="00203C34"/>
              <sz val="11"/>
            </rPr>
            <t>RTX Spark 宣布上市，NVIDIA 公布工廠 AI 合作；經濟部說明赴美園區規劃，中經院發布全年預測。上市、合作、規劃與預測各有不同資料狀態，出貨、全面部署、用地及融資細節尚未全部公開。</t>
          </r>
        </is>
      </c>
    </row>
    <row r="7" ht="64" customHeight="1">
      <c r="A7" s="34" t="n">
        <v>4</v>
      </c>
      <c r="B7" s="35" t="inlineStr">
        <is>
          <r>
            <rPr>
              <rFont val="Noto Sans CJK TC"/>
              <b val="1"/>
              <color rgb="00203C34"/>
              <sz val="13"/>
            </rPr>
            <t xml:space="preserve">吉隆坡 KLCC 半導體招募涵蓋設計、製程與設備　10/17
</t>
          </r>
          <r>
            <rPr>
              <rFont val="Noto Sans CJK TC"/>
              <color rgb="00203C34"/>
              <sz val="11"/>
            </rPr>
            <t>馬來西亞吉隆坡 KLCC 招募涵蓋設計、製程、設備與廠務，官方描述與檳城製造及封測聚落互補。職缺與園區人數為不同指標，實際聘用未公布，主辦頁對活動起日記載有差異。</t>
          </r>
        </is>
      </c>
    </row>
    <row r="8" ht="80" customHeight="1">
      <c r="A8" s="34" t="n">
        <v>5</v>
      </c>
      <c r="B8" s="35" t="inlineStr">
        <is>
          <r>
            <rPr>
              <rFont val="Noto Sans CJK TC"/>
              <b val="1"/>
              <color rgb="00203C34"/>
              <sz val="13"/>
            </rPr>
            <t xml:space="preserve">越南資料中心電價與前三季外資統計　10/17
</t>
          </r>
          <r>
            <rPr>
              <rFont val="Noto Sans CJK TC"/>
              <color rgb="00203C34"/>
              <sz val="11"/>
            </rPr>
            <t>胡志明市要求釐清資料中心電價，最終費率及原始會議文件尚未取得；10 月 3 日發布的前三季 FDI 實現額估計年增 12.1%。個案電價與全國統計分開記錄，外資註冊額、實現額及製造業分項的分母亦不同。</t>
          </r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93D34"/>
    <outlinePr summaryBelow="1" summaryRight="1"/>
    <pageSetUpPr/>
  </sheetPr>
  <dimension ref="A1:S6"/>
  <sheetViews>
    <sheetView showGridLines="0" tabSelected="0" workbookViewId="0">
      <pane xSplit="3" ySplit="1" topLeftCell="D2" activePane="bottomRight" state="frozen"/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36" customWidth="1" min="5" max="5"/>
    <col width="30" customWidth="1" min="6" max="6"/>
    <col width="42" customWidth="1" min="7" max="7"/>
    <col width="42" customWidth="1" min="8" max="8"/>
    <col width="42" customWidth="1" min="9" max="9"/>
    <col width="55" customWidth="1" min="10" max="10"/>
    <col width="72" customWidth="1" min="11" max="11"/>
    <col width="45" customWidth="1" min="12" max="12"/>
    <col width="80" customWidth="1" min="13" max="13"/>
    <col width="36" customWidth="1" min="14" max="14"/>
    <col width="48" customWidth="1" min="15" max="15"/>
    <col width="48" customWidth="1" min="16" max="16"/>
    <col width="24" customWidth="1" min="17" max="17"/>
    <col width="62" customWidth="1" min="18" max="18"/>
    <col width="62" customWidth="1" min="19" max="19"/>
    <col width="62" customWidth="1" min="20" max="20"/>
  </cols>
  <sheetData>
    <row r="1" ht="15" customHeight="1">
      <c r="A1" s="7" t="inlineStr">
        <is>
          <t>刊期日期</t>
        </is>
      </c>
      <c r="B1" s="7" t="inlineStr">
        <is>
          <t>事件日期</t>
        </is>
      </c>
      <c r="C1" s="7" t="inlineStr">
        <is>
          <t>新聞 ID</t>
        </is>
      </c>
      <c r="D1" s="7" t="inlineStr">
        <is>
          <t>國家</t>
        </is>
      </c>
      <c r="E1" s="7" t="inlineStr">
        <is>
          <t>產業與趨勢</t>
        </is>
      </c>
      <c r="F1" s="7" t="inlineStr">
        <is>
          <t>供應鏈環節</t>
        </is>
      </c>
      <c r="G1" s="7" t="inlineStr">
        <is>
          <t>市場投資</t>
        </is>
      </c>
      <c r="H1" s="7" t="inlineStr">
        <is>
          <t>市場需求</t>
        </is>
      </c>
      <c r="I1" s="7" t="inlineStr">
        <is>
          <t>外商投資 FDI</t>
        </is>
      </c>
      <c r="J1" s="7" t="inlineStr">
        <is>
          <t>標題</t>
        </is>
      </c>
      <c r="K1" s="7" t="inlineStr">
        <is>
          <t>事件摘要</t>
        </is>
      </c>
      <c r="L1" s="7" t="inlineStr">
        <is>
          <t>產業關聯</t>
        </is>
      </c>
      <c r="M1" s="7" t="inlineStr">
        <is>
          <t>影響評估（自行填寫）</t>
        </is>
      </c>
      <c r="N1" s="7" t="inlineStr">
        <is>
          <t>已公布時程</t>
        </is>
      </c>
      <c r="O1" s="7" t="inlineStr">
        <is>
          <t>分析備註（自行填寫）</t>
        </is>
      </c>
      <c r="P1" s="7" t="inlineStr">
        <is>
          <t>待確認事項</t>
        </is>
      </c>
      <c r="Q1" s="7" t="inlineStr">
        <is>
          <t>查證信心</t>
        </is>
      </c>
      <c r="R1" s="7" t="inlineStr">
        <is>
          <t>日報連結</t>
        </is>
      </c>
      <c r="S1" s="7" t="inlineStr">
        <is>
          <t>活動或專案地點</t>
        </is>
      </c>
    </row>
    <row r="2" ht="28.79999923706055" customHeight="1">
      <c r="A2" s="22" t="n">
        <v>46306</v>
      </c>
      <c r="B2" s="22" t="n"/>
      <c r="C2" s="9" t="inlineStr">
        <is>
          <t>週主題 1</t>
        </is>
      </c>
      <c r="D2" s="9" t="inlineStr">
        <is>
          <t>台灣；美國</t>
        </is>
      </c>
      <c r="E2" s="9" t="inlineStr">
        <is>
          <t>AI 半導體；HBM；先進封裝；測試</t>
        </is>
      </c>
      <c r="F2" s="9" t="inlineStr">
        <is>
          <t>晶圓製造至封裝測試</t>
        </is>
      </c>
      <c r="G2" s="9" t="inlineStr">
        <is>
          <t>美光 AATT2 開幕，新增投資額未核實</t>
        </is>
      </c>
      <c r="H2" s="9" t="inlineStr">
        <is>
          <t>公司描述先進封裝需求，未核實新增產量</t>
        </is>
      </c>
      <c r="I2" s="9" t="inlineStr">
        <is>
          <t>美商在台廠房開幕，新增金額未披露</t>
        </is>
      </c>
      <c r="J2" s="9" t="inlineStr">
        <is>
          <t>台積電、美光與南亞科公布晶圓、HBM 和 DRAM 進展</t>
        </is>
      </c>
      <c r="K2" s="9" t="inlineStr">
        <is>
          <t>台積電法說與美光 AATT2 開幕提供先進邏輯、HBM 與後段測試資訊，南亞科財報涵蓋一般 DRAM。各來源的產品、期間與產能口徑不同，未公布的新增產出及設備訂單仍未知。</t>
        </is>
      </c>
      <c r="L2" s="9" t="inlineStr">
        <is>
          <t>晶圓製造、HBM 與先進封裝測試</t>
        </is>
      </c>
      <c r="M2" s="9" t="str"/>
      <c r="N2" s="9" t="inlineStr">
        <is>
          <t>10 月 15 日法說及開幕；量產產出未完整披露</t>
        </is>
      </c>
      <c r="O2" s="9" t="str"/>
      <c r="P2" s="9" t="inlineStr">
        <is>
          <t>AATT2 新增 HBM 產出、設備訂單及個別供應商營收未披露</t>
        </is>
      </c>
      <c r="Q2" s="9" t="inlineStr">
        <is>
          <t>各則限制詳見日報</t>
        </is>
      </c>
      <c r="R2" s="36" t="inlineStr">
        <is>
          <t>開啟週報</t>
        </is>
      </c>
      <c r="S2" s="9" t="inlineStr">
        <is>
          <t>美光啟用典禮：台灣台中，美光先進封裝測試二廠（AATT2）</t>
        </is>
      </c>
    </row>
    <row r="3" ht="43.20000076293945" customHeight="1">
      <c r="A3" s="23" t="n">
        <v>46306</v>
      </c>
      <c r="B3" s="23" t="n"/>
      <c r="C3" s="10" t="inlineStr">
        <is>
          <t>週主題 2</t>
        </is>
      </c>
      <c r="D3" s="10" t="inlineStr">
        <is>
          <t>台灣；美國</t>
        </is>
      </c>
      <c r="E3" s="10" t="inlineStr">
        <is>
          <t>AI 資料中心；伺服器；電源；液冷</t>
        </is>
      </c>
      <c r="F3" s="10" t="inlineStr">
        <is>
          <t>ODM 整機櫃至機房交付</t>
        </is>
      </c>
      <c r="G3" s="10" t="inlineStr">
        <is>
          <t>產品展示，未披露新增資本支出</t>
        </is>
      </c>
      <c r="H3" s="10" t="inlineStr">
        <is>
          <t>800 VDC 與液冷方案增加，出貨量未核實</t>
        </is>
      </c>
      <c r="I3" s="10" t="inlineStr">
        <is>
          <t>未披露外商投資金額</t>
        </is>
      </c>
      <c r="J3" s="10" t="inlineStr">
        <is>
          <t>聖荷西 OCP 台廠展示高壓直流電源與液冷</t>
        </is>
      </c>
      <c r="K3" s="10" t="inlineStr">
        <is>
          <t>台廠於美國加州聖荷西 OCP 展示機櫃、電源、備援與冷卻，本週另有台電投資及電源專利調查消息。展示額定值與實際部署量分開記錄，專利程序的結果仍待後續文件。</t>
        </is>
      </c>
      <c r="L3" s="10" t="inlineStr">
        <is>
          <t>機櫃、電源、備援與液冷產品</t>
        </is>
      </c>
      <c r="M3" s="10" t="str"/>
      <c r="N3" s="10" t="inlineStr">
        <is>
          <t>展期 10 月 12 至 15 日；各產品量產時程依廠商披露</t>
        </is>
      </c>
      <c r="O3" s="10" t="str"/>
      <c r="P3" s="10" t="inlineStr">
        <is>
          <t>同口徑售價、成本、客戶訂單及實際部署量未披露</t>
        </is>
      </c>
      <c r="Q3" s="10" t="inlineStr">
        <is>
          <t>各則限制詳見日報</t>
        </is>
      </c>
      <c r="R3" s="37" t="inlineStr">
        <is>
          <t>開啟週報</t>
        </is>
      </c>
      <c r="S3" s="10" t="inlineStr">
        <is>
          <t>美國加州聖荷西，San Jose McEnery Convention Center</t>
        </is>
      </c>
    </row>
    <row r="4" ht="72" customHeight="1">
      <c r="A4" s="23" t="n">
        <v>46306</v>
      </c>
      <c r="B4" s="23" t="n"/>
      <c r="C4" s="10" t="inlineStr">
        <is>
          <t>週主題 3</t>
        </is>
      </c>
      <c r="D4" s="10" t="inlineStr">
        <is>
          <t>台灣；美國
台灣
台灣供應鏈關聯；導入場域未完整披露</t>
        </is>
      </c>
      <c r="E4" s="10" t="inlineStr">
        <is>
          <t>終端 AI；PC；IC 設計；封裝
海外工業園區；電子供應鏈
總體經濟；AI 投資
工廠 AI；檢測；測試；工業設備</t>
        </is>
      </c>
      <c r="F4" s="10" t="inlineStr">
        <is>
          <t>設計至品牌 PC 與企業用戶
零組件至在地工廠
需求與區域投資背景
算力與設備至終端工廠使用者</t>
        </is>
      </c>
      <c r="G4" s="10" t="inlineStr">
        <is>
          <t>新品推出，未披露新廠投資
每座 20 億至 40 億美元估算，未承諾
中經院投資展望，屬預測
合作發布，未揭露本期採購或投資金額</t>
        </is>
      </c>
      <c r="H4" s="10" t="inlineStr">
        <is>
          <t>公司預期本地 AI 需求，尚無售出量
在地供應鏈規劃，租用率未公布
2026 年 GDP 成長預測 12.16%
試點與導入方向，未核實全廠收益</t>
        </is>
      </c>
      <c r="I4" s="10" t="inlineStr">
        <is>
          <t>未披露
私人籌資規劃，尚非實際投資流量
未提供本期 FDI 數據
未揭露</t>
        </is>
      </c>
      <c r="J4" s="10" t="inlineStr">
        <is>
          <t>台灣終端 AI、工廠合作與海外園區規劃</t>
        </is>
      </c>
      <c r="K4" s="10" t="inlineStr">
        <is>
          <t>RTX Spark 宣布上市，NVIDIA 公布工廠 AI 合作；經濟部說明赴美園區規劃，中經院發布全年預測。上市、合作、規劃與預測各有不同資料狀態，出貨、全面部署、用地及融資細節尚未全部公開。</t>
        </is>
      </c>
      <c r="L4" s="10" t="inlineStr">
        <is>
          <t>本地 AI 電腦、晶片設計與封裝
海外產業園區與台灣零組件供應鏈
台灣總體經濟及投資、出口統計背景
檢測、測試設備與工廠 AI 軟硬體合作</t>
        </is>
      </c>
      <c r="M4" s="10" t="str"/>
      <c r="N4" s="10" t="inlineStr">
        <is>
          <t>10 月 16 日宣布上市
10 月 16 日說明；土地及動工時程未確認
10 月 16 日公布 2026 年第四季預測
10 月 14 日公司發布；全面部署時程未完整公開</t>
        </is>
      </c>
      <c r="O4" s="10" t="str"/>
      <c r="P4" s="10" t="inlineStr">
        <is>
          <t>本期未取得出貨、使用率及完整生命週期成本
開發主體、用地、完整融資及入駐名單尚未確認
全年 GDP 尚為預測，後續實績可能修訂
具名部署廠址、合約計價與量化全廠收益未完整公開</t>
        </is>
      </c>
      <c r="Q4" s="10" t="inlineStr">
        <is>
          <t>各則限制詳見日報</t>
        </is>
      </c>
      <c r="R4" s="37" t="inlineStr">
        <is>
          <t>開啟週報</t>
        </is>
      </c>
      <c r="S4" s="10" t="inlineStr">
        <is>
          <t>未提供活動場館；詳見原文
投資規劃：美國德州；具體園區用地仍待確認
全球合作發布；各工廠實際導入地點未完整披露</t>
        </is>
      </c>
    </row>
    <row r="5" ht="43.20000076293945" customHeight="1">
      <c r="A5" s="23" t="n">
        <v>46306</v>
      </c>
      <c r="B5" s="23" t="n"/>
      <c r="C5" s="10" t="inlineStr">
        <is>
          <t>週主題 4</t>
        </is>
      </c>
      <c r="D5" s="10" t="inlineStr">
        <is>
          <t>馬來西亞；台灣</t>
        </is>
      </c>
      <c r="E5" s="10" t="inlineStr">
        <is>
          <t>半導體；後段封測；設備服務</t>
        </is>
      </c>
      <c r="F5" s="10" t="inlineStr">
        <is>
          <t>設計至封測及現場工程</t>
        </is>
      </c>
      <c r="G5" s="10" t="inlineStr">
        <is>
          <t>官員提及馬幣 1.5 億令吉合作計畫，撥款時程未披露</t>
        </is>
      </c>
      <c r="H5" s="10" t="inlineStr">
        <is>
          <t>逾 1,500 職缺，非實際聘用</t>
        </is>
      </c>
      <c r="I5" s="10" t="inlineStr">
        <is>
          <t>未提供新增 FDI 流量</t>
        </is>
      </c>
      <c r="J5" s="10" t="inlineStr">
        <is>
          <t>吉隆坡 KLCC 半導體招募涵蓋設計、製程與設備</t>
        </is>
      </c>
      <c r="K5" s="10" t="inlineStr">
        <is>
          <t>馬來西亞吉隆坡 KLCC 招募涵蓋設計、製程、設備與廠務，官方描述與檳城製造及封測聚落互補。職缺與園區人數為不同指標，實際聘用未公布，主辦頁對活動起日記載有差異。</t>
        </is>
      </c>
      <c r="L5" s="10" t="inlineStr">
        <is>
          <t>IC 設計、製程、設備、廠務與封測人才</t>
        </is>
      </c>
      <c r="M5" s="10" t="str"/>
      <c r="N5" s="10" t="inlineStr">
        <is>
          <t>10 月中旬招募；主辦頁起日為 10/14 或 10/15</t>
        </is>
      </c>
      <c r="O5" s="10" t="str"/>
      <c r="P5" s="10" t="inlineStr">
        <is>
          <t>實際聘用與留任未披露；園區及計畫數字依官員陳述</t>
        </is>
      </c>
      <c r="Q5" s="10" t="inlineStr">
        <is>
          <t>各則限制詳見日報</t>
        </is>
      </c>
      <c r="R5" s="37" t="inlineStr">
        <is>
          <t>開啟週報</t>
        </is>
      </c>
      <c r="S5" s="10" t="inlineStr">
        <is>
          <t>馬來西亞吉隆坡，吉隆坡會展中心（KLCC）；由雪蘭莪相關機構主辦</t>
        </is>
      </c>
    </row>
    <row r="6" ht="43.20000076293945" customHeight="1">
      <c r="A6" s="24" t="n">
        <v>46306</v>
      </c>
      <c r="B6" s="24" t="n"/>
      <c r="C6" s="11" t="inlineStr">
        <is>
          <t>週主題 5</t>
        </is>
      </c>
      <c r="D6" s="11" t="inlineStr">
        <is>
          <t>越南
越南；新加坡</t>
        </is>
      </c>
      <c r="E6" s="11" t="inlineStr">
        <is>
          <t>AI 資料中心；電源；能源
製造業；外商投資；工業電源</t>
        </is>
      </c>
      <c r="F6" s="11" t="inlineStr">
        <is>
          <t>機房建設與營運電力
資金註冊至工廠落地</t>
        </is>
      </c>
      <c r="G6" s="11" t="inlineStr">
        <is>
          <t>21 億美元既有計畫，新增投資未核實
總註冊外資 503.6 億美元</t>
        </is>
      </c>
      <c r="H6" s="11" t="inlineStr">
        <is>
          <t>電價爭點可能影響進度，量化需求未知
工廠設備需求尚須分項驗證</t>
        </is>
      </c>
      <c r="I6" s="11" t="inlineStr">
        <is>
          <t>AIC 與 KBC 既有計畫，非新流入
FDI 實現額估 210.7 億美元，YoY 12.1%</t>
        </is>
      </c>
      <c r="J6" s="11" t="inlineStr">
        <is>
          <t>越南資料中心電價與前三季外資統計</t>
        </is>
      </c>
      <c r="K6" s="11" t="inlineStr">
        <is>
          <t>胡志明市要求釐清資料中心電價，最終費率及原始會議文件尚未取得；10 月 3 日發布的前三季 FDI 實現額估計年增 12.1%。個案電價與全國統計分開記錄，外資註冊額、實現額及製造業分項的分母亦不同。</t>
        </is>
      </c>
      <c r="L6" s="11" t="inlineStr">
        <is>
          <t>資料中心電力與越南工業區
越南製造業投資及外資流量背景</t>
        </is>
      </c>
      <c r="M6" s="11" t="str"/>
      <c r="N6" s="11" t="inlineStr">
        <is>
          <t>10 月 15 日會議、10 月 16 日報導；最終費率未定
統計截至 9 月 30 日，10 月 3 日發布</t>
        </is>
      </c>
      <c r="O6" s="11" t="str"/>
      <c r="P6" s="11" t="inlineStr">
        <is>
          <t>原始會議文件、最終費率、用電曲線與電力合約未取得
製造業及資金來源分項未核對官方原表；實現額屬估計</t>
        </is>
      </c>
      <c r="Q6" s="11" t="inlineStr">
        <is>
          <t>各則限制詳見日報</t>
        </is>
      </c>
      <c r="R6" s="38" t="inlineStr">
        <is>
          <t>開啟週報</t>
        </is>
      </c>
      <c r="S6" s="11" t="inlineStr">
        <is>
          <t>越南胡志明市；專案位於新富中工業區（Tan Phu Trung Industrial Park）
越南全國統計；非單一活動或工廠</t>
        </is>
      </c>
    </row>
  </sheetData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</hyperlinks>
  <pageMargins left="0.7" right="0.7" top="0.75" bottom="0.75" header="0.3" footer="0.3"/>
  <tableParts count="1"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00D9DFD6"/>
    <outlinePr summaryBelow="1" summaryRight="1"/>
    <pageSetUpPr/>
  </sheetPr>
  <dimension ref="A1:A17"/>
  <sheetViews>
    <sheetView showGridLines="0" tabSelected="0"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2" t="inlineStr">
        <is>
          <t>2026-10-11 至 2026-10-17 週報</t>
        </is>
      </c>
    </row>
    <row r="2" ht="34" customHeight="1">
      <c r="A2" s="33" t="inlineStr">
        <is>
          <t>本週精選主題依重要性排列。「重點」每個主題一列；「摘要明細」補充各則新聞的產業關聯。</t>
        </is>
      </c>
    </row>
    <row r="4" ht="26" customHeight="1">
      <c r="A4" s="39" t="inlineStr">
        <is>
          <t>台積電、美光與南亞科公布晶圓、HBM 和 DRAM 進展　10/13、10/16、10/17</t>
        </is>
      </c>
    </row>
    <row r="5" ht="44" customHeight="1">
      <c r="A5" s="40" t="inlineStr">
        <is>
          <t>台積電法說與美光 AATT2 開幕提供先進邏輯、HBM 與後段測試資訊，南亞科財報涵蓋一般 DRAM。各來源的產品、期間與產能口徑不同，未公布的新增產出及設備訂單仍未知。產業關聯：晶圓製造、HBM 與先進封裝測試。</t>
        </is>
      </c>
    </row>
    <row r="7" ht="26" customHeight="1">
      <c r="A7" s="39" t="inlineStr">
        <is>
          <t>聖荷西 OCP 台廠展示高壓直流電源與液冷　10/12、10/13、10/17</t>
        </is>
      </c>
    </row>
    <row r="8" ht="44" customHeight="1">
      <c r="A8" s="40" t="inlineStr">
        <is>
          <t>台廠於美國加州聖荷西 OCP 展示機櫃、電源、備援與冷卻，本週另有台電投資及電源專利調查消息。展示額定值與實際部署量分開記錄，專利程序的結果仍待後續文件。產業關聯：機櫃、電源、備援與液冷產品。</t>
        </is>
      </c>
    </row>
    <row r="10" ht="26" customHeight="1">
      <c r="A10" s="39" t="inlineStr">
        <is>
          <t>台灣終端 AI、工廠合作與海外園區規劃　10/17</t>
        </is>
      </c>
    </row>
    <row r="11" ht="76" customHeight="1">
      <c r="A11" s="40" t="inlineStr">
        <is>
          <t>RTX Spark 宣布上市，NVIDIA 公布工廠 AI 合作；經濟部說明赴美園區規劃，中經院發布全年預測。上市、合作、規劃與預測各有不同資料狀態，出貨、全面部署、用地及融資細節尚未全部公開。產業關聯：本地 AI 電腦、晶片設計與封裝。海外產業園區與台灣零組件供應鏈。台灣總體經濟及投資、出口統計背景。檢測、測試設備與工廠 AI 軟硬體合作。</t>
        </is>
      </c>
    </row>
    <row r="13" ht="26" customHeight="1">
      <c r="A13" s="39" t="inlineStr">
        <is>
          <t>吉隆坡 KLCC 半導體招募涵蓋設計、製程與設備　10/17</t>
        </is>
      </c>
    </row>
    <row r="14" ht="44" customHeight="1">
      <c r="A14" s="40" t="inlineStr">
        <is>
          <t>馬來西亞吉隆坡 KLCC 招募涵蓋設計、製程、設備與廠務，官方描述與檳城製造及封測聚落互補。職缺與園區人數為不同指標，實際聘用未公布，主辦頁對活動起日記載有差異。產業關聯：IC 設計、製程、設備、廠務與封測人才。</t>
        </is>
      </c>
    </row>
    <row r="16" ht="26" customHeight="1">
      <c r="A16" s="39" t="inlineStr">
        <is>
          <t>越南資料中心電價與前三季外資統計　10/17</t>
        </is>
      </c>
    </row>
    <row r="17" ht="60" customHeight="1">
      <c r="A17" s="40" t="inlineStr">
        <is>
          <t>胡志明市要求釐清資料中心電價，最終費率及原始會議文件尚未取得；10 月 3 日發布的前三季 FDI 實現額估計年增 12.1%。個案電價與全國統計分開記錄，外資註冊額、實現額及製造業分項的分母亦不同。產業關聯：資料中心電力與越南工業區。越南製造業投資及外資流量背景。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19487"/>
    <outlinePr summaryBelow="1" summaryRight="1"/>
    <pageSetUpPr/>
  </sheetPr>
  <dimension ref="A1:V21"/>
  <sheetViews>
    <sheetView showGridLines="0" tabSelected="0" workbookViewId="0">
      <pane xSplit="3" ySplit="1" topLeftCell="D2" activePane="bottomRight" state="frozen"/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36" customWidth="1" min="5" max="5"/>
    <col width="32" customWidth="1" min="6" max="6"/>
    <col width="25" customWidth="1" min="7" max="7"/>
    <col width="38" customWidth="1" min="8" max="8"/>
    <col width="18" customWidth="1" min="9" max="9"/>
    <col width="18" customWidth="1" min="10" max="10"/>
    <col width="38" customWidth="1" min="11" max="11"/>
    <col width="18" customWidth="1" min="12" max="12"/>
    <col width="18" customWidth="1" min="13" max="13"/>
    <col width="19" customWidth="1" min="14" max="14"/>
    <col width="19" customWidth="1" min="15" max="15"/>
    <col width="20" customWidth="1" min="16" max="16"/>
    <col width="20" customWidth="1" min="17" max="17"/>
    <col width="20" customWidth="1" min="18" max="18"/>
    <col width="44" customWidth="1" min="19" max="19"/>
    <col width="40" customWidth="1" min="20" max="20"/>
    <col width="70" customWidth="1" min="21" max="21"/>
    <col width="80" customWidth="1" min="22" max="22"/>
  </cols>
  <sheetData>
    <row r="1" ht="15" customHeight="1">
      <c r="A1" s="7" t="inlineStr">
        <is>
          <t>刊期日期</t>
        </is>
      </c>
      <c r="B1" s="7" t="inlineStr">
        <is>
          <t>事件日期</t>
        </is>
      </c>
      <c r="C1" s="7" t="inlineStr">
        <is>
          <t>新聞 ID</t>
        </is>
      </c>
      <c r="D1" s="7" t="inlineStr">
        <is>
          <t>國家</t>
        </is>
      </c>
      <c r="E1" s="7" t="inlineStr">
        <is>
          <t>產業與趨勢</t>
        </is>
      </c>
      <c r="F1" s="7" t="inlineStr">
        <is>
          <t>指標</t>
        </is>
      </c>
      <c r="G1" s="7" t="inlineStr">
        <is>
          <t>資料性質</t>
        </is>
      </c>
      <c r="H1" s="7" t="inlineStr">
        <is>
          <t>本期期間</t>
        </is>
      </c>
      <c r="I1" s="7" t="inlineStr">
        <is>
          <t>本期值</t>
        </is>
      </c>
      <c r="J1" s="7" t="inlineStr">
        <is>
          <t>單位</t>
        </is>
      </c>
      <c r="K1" s="7" t="inlineStr">
        <is>
          <t>基期期間</t>
        </is>
      </c>
      <c r="L1" s="7" t="inlineStr">
        <is>
          <t>基期值 Base</t>
        </is>
      </c>
      <c r="M1" s="7" t="inlineStr">
        <is>
          <t>比較口徑</t>
        </is>
      </c>
      <c r="N1" s="7" t="inlineStr">
        <is>
          <t>YoY percentage</t>
        </is>
      </c>
      <c r="O1" s="7" t="inlineStr">
        <is>
          <t>QoQ percentage</t>
        </is>
      </c>
      <c r="P1" s="7" t="inlineStr">
        <is>
          <t>絕對變動</t>
        </is>
      </c>
      <c r="Q1" s="7" t="inlineStr">
        <is>
          <t>百分點變動</t>
        </is>
      </c>
      <c r="R1" s="7" t="inlineStr">
        <is>
          <t>計算變動率</t>
        </is>
      </c>
      <c r="S1" s="7" t="inlineStr">
        <is>
          <t>基期與計算說明</t>
        </is>
      </c>
      <c r="T1" s="7" t="inlineStr">
        <is>
          <t>數字歸屬</t>
        </is>
      </c>
      <c r="U1" s="7" t="inlineStr">
        <is>
          <t>影響評估（自行填寫）</t>
        </is>
      </c>
      <c r="V1" s="7" t="inlineStr">
        <is>
          <t>來源連結</t>
        </is>
      </c>
    </row>
    <row r="2" ht="28.79999923706055" customHeight="1">
      <c r="A2" s="22" t="n">
        <v>46312</v>
      </c>
      <c r="B2" s="22" t="n">
        <v>46310</v>
      </c>
      <c r="C2" s="9" t="inlineStr">
        <is>
          <t>2026-10-17:12</t>
        </is>
      </c>
      <c r="D2" s="9" t="inlineStr">
        <is>
          <t>台灣；美國</t>
        </is>
      </c>
      <c r="E2" s="9" t="inlineStr">
        <is>
          <t>AI 半導體；HBM；先進封裝；測試</t>
        </is>
      </c>
      <c r="F2" s="9" t="inlineStr">
        <is>
          <t>新台幣營收（約）</t>
        </is>
      </c>
      <c r="G2" s="9" t="inlineStr">
        <is>
          <t>公司實績</t>
        </is>
      </c>
      <c r="H2" s="9" t="inlineStr">
        <is>
          <t>2026 Q3</t>
        </is>
      </c>
      <c r="I2" s="25" t="n">
        <v>1494</v>
      </c>
      <c r="J2" s="9" t="inlineStr">
        <is>
          <t>NTD billion</t>
        </is>
      </c>
      <c r="K2" s="9" t="inlineStr">
        <is>
          <t>2025 Q3</t>
        </is>
      </c>
      <c r="L2" s="25" t="n"/>
      <c r="M2" s="9" t="inlineStr">
        <is>
          <t>YoY</t>
        </is>
      </c>
      <c r="N2" s="26" t="n">
        <v>0.509</v>
      </c>
      <c r="O2" s="26" t="n"/>
      <c r="P2" s="25" t="n"/>
      <c r="Q2" s="25" t="n"/>
      <c r="R2" s="26" t="n"/>
      <c r="S2" s="9" t="inlineStr">
        <is>
          <t>本期值及公布增幅已核對；本表未收錄可比基期</t>
        </is>
      </c>
      <c r="T2" s="9" t="inlineStr">
        <is>
          <t>TSMC</t>
        </is>
      </c>
      <c r="U2" s="9" t="str"/>
      <c r="V2" s="9" t="inlineStr">
        <is>
          <t>https://investor.tsmc.com/english/encrypt/files/encrypt_file/reports/2026-10/526b65af7305df2dde6b9ece6812b1fdf1e49f9b/3Q26%20EarningsRelease.pdf</t>
        </is>
      </c>
    </row>
    <row r="3" ht="28.79999923706055" customHeight="1">
      <c r="A3" s="23" t="n">
        <v>46312</v>
      </c>
      <c r="B3" s="23" t="n">
        <v>46310</v>
      </c>
      <c r="C3" s="10" t="inlineStr">
        <is>
          <t>2026-10-17:12</t>
        </is>
      </c>
      <c r="D3" s="10" t="inlineStr">
        <is>
          <t>台灣；美國</t>
        </is>
      </c>
      <c r="E3" s="10" t="inlineStr">
        <is>
          <t>AI 半導體；HBM；先進封裝；測試</t>
        </is>
      </c>
      <c r="F3" s="10" t="inlineStr">
        <is>
          <t>稅後淨利</t>
        </is>
      </c>
      <c r="G3" s="10" t="inlineStr">
        <is>
          <t>公司實績</t>
        </is>
      </c>
      <c r="H3" s="10" t="inlineStr">
        <is>
          <t>2026 Q3</t>
        </is>
      </c>
      <c r="I3" s="27" t="n">
        <v>763.0599999999999</v>
      </c>
      <c r="J3" s="10" t="inlineStr">
        <is>
          <t>NTD billion</t>
        </is>
      </c>
      <c r="K3" s="10" t="inlineStr">
        <is>
          <t>2025 Q3</t>
        </is>
      </c>
      <c r="L3" s="27" t="n"/>
      <c r="M3" s="10" t="inlineStr">
        <is>
          <t>YoY</t>
        </is>
      </c>
      <c r="N3" s="28" t="n">
        <v>0.6870000000000001</v>
      </c>
      <c r="O3" s="28" t="n"/>
      <c r="P3" s="27" t="n"/>
      <c r="Q3" s="27" t="n"/>
      <c r="R3" s="28" t="n"/>
      <c r="S3" s="10" t="inlineStr">
        <is>
          <t>本期值及公布增幅已核對；本表未收錄可比基期</t>
        </is>
      </c>
      <c r="T3" s="10" t="inlineStr">
        <is>
          <t>TSMC</t>
        </is>
      </c>
      <c r="U3" s="10" t="str"/>
      <c r="V3" s="10" t="inlineStr">
        <is>
          <t>https://investor.tsmc.com/english/encrypt/files/encrypt_file/reports/2026-10/526b65af7305df2dde6b9ece6812b1fdf1e49f9b/3Q26%20EarningsRelease.pdf</t>
        </is>
      </c>
    </row>
    <row r="4" ht="28.79999923706055" customHeight="1">
      <c r="A4" s="23" t="n">
        <v>46312</v>
      </c>
      <c r="B4" s="23" t="n">
        <v>46310</v>
      </c>
      <c r="C4" s="10" t="inlineStr">
        <is>
          <t>2026-10-17:12</t>
        </is>
      </c>
      <c r="D4" s="10" t="inlineStr">
        <is>
          <t>台灣；美國</t>
        </is>
      </c>
      <c r="E4" s="10" t="inlineStr">
        <is>
          <t>AI 半導體；HBM；先進封裝；測試</t>
        </is>
      </c>
      <c r="F4" s="10" t="inlineStr">
        <is>
          <t>美元營收</t>
        </is>
      </c>
      <c r="G4" s="10" t="inlineStr">
        <is>
          <t>公司實績</t>
        </is>
      </c>
      <c r="H4" s="10" t="inlineStr">
        <is>
          <t>2026 Q3</t>
        </is>
      </c>
      <c r="I4" s="27" t="n">
        <v>46.72</v>
      </c>
      <c r="J4" s="10" t="inlineStr">
        <is>
          <t>USD billion</t>
        </is>
      </c>
      <c r="K4" s="10" t="str"/>
      <c r="L4" s="27" t="n"/>
      <c r="M4" s="10" t="inlineStr">
        <is>
          <t>無</t>
        </is>
      </c>
      <c r="N4" s="28" t="n"/>
      <c r="O4" s="28" t="n"/>
      <c r="P4" s="27" t="n"/>
      <c r="Q4" s="27" t="n"/>
      <c r="R4" s="28" t="n"/>
      <c r="S4" s="10" t="inlineStr">
        <is>
          <t>本期值及公布增幅已核對；本表未收錄可比基期</t>
        </is>
      </c>
      <c r="T4" s="10" t="inlineStr">
        <is>
          <t>TSMC</t>
        </is>
      </c>
      <c r="U4" s="10" t="str"/>
      <c r="V4" s="10" t="inlineStr">
        <is>
          <t>https://investor.tsmc.com/english/encrypt/files/encrypt_file/reports/2026-10/526b65af7305df2dde6b9ece6812b1fdf1e49f9b/3Q26%20EarningsRelease.pdf</t>
        </is>
      </c>
    </row>
    <row r="5" ht="28.79999923706055" customHeight="1">
      <c r="A5" s="23" t="n">
        <v>46312</v>
      </c>
      <c r="B5" s="23" t="n">
        <v>46310</v>
      </c>
      <c r="C5" s="10" t="inlineStr">
        <is>
          <t>2026-10-17:12</t>
        </is>
      </c>
      <c r="D5" s="10" t="inlineStr">
        <is>
          <t>台灣；美國</t>
        </is>
      </c>
      <c r="E5" s="10" t="inlineStr">
        <is>
          <t>AI 半導體；HBM；先進封裝；測試</t>
        </is>
      </c>
      <c r="F5" s="10" t="inlineStr">
        <is>
          <t>毛利率</t>
        </is>
      </c>
      <c r="G5" s="10" t="inlineStr">
        <is>
          <t>公司實績</t>
        </is>
      </c>
      <c r="H5" s="10" t="inlineStr">
        <is>
          <t>2026 Q3</t>
        </is>
      </c>
      <c r="I5" s="29" t="n">
        <v>0.664</v>
      </c>
      <c r="J5" s="10" t="inlineStr">
        <is>
          <t>%</t>
        </is>
      </c>
      <c r="K5" s="10" t="str"/>
      <c r="L5" s="29" t="n"/>
      <c r="M5" s="10" t="inlineStr">
        <is>
          <t>無</t>
        </is>
      </c>
      <c r="N5" s="28" t="n"/>
      <c r="O5" s="28" t="n"/>
      <c r="P5" s="27" t="n"/>
      <c r="Q5" s="27" t="n"/>
      <c r="R5" s="28" t="n"/>
      <c r="S5" s="10" t="inlineStr">
        <is>
          <t>本期值及公布增幅已核對；本表未收錄可比基期</t>
        </is>
      </c>
      <c r="T5" s="10" t="inlineStr">
        <is>
          <t>TSMC</t>
        </is>
      </c>
      <c r="U5" s="10" t="str"/>
      <c r="V5" s="10" t="inlineStr">
        <is>
          <t>https://investor.tsmc.com/english/encrypt/files/encrypt_file/reports/2026-10/526b65af7305df2dde6b9ece6812b1fdf1e49f9b/3Q26%20EarningsRelease.pdf</t>
        </is>
      </c>
    </row>
    <row r="6" ht="43.20000076293945" customHeight="1">
      <c r="A6" s="23" t="n">
        <v>46312</v>
      </c>
      <c r="B6" s="23" t="n">
        <v>46310</v>
      </c>
      <c r="C6" s="10" t="inlineStr">
        <is>
          <t>2026-10-17:13</t>
        </is>
      </c>
      <c r="D6" s="10" t="inlineStr">
        <is>
          <t>台灣；美國</t>
        </is>
      </c>
      <c r="E6" s="10" t="inlineStr">
        <is>
          <t>AI 資料中心；伺服器；電源；液冷</t>
        </is>
      </c>
      <c r="F6" s="10" t="inlineStr">
        <is>
          <t>電源櫃額定能力</t>
        </is>
      </c>
      <c r="G6" s="10" t="inlineStr">
        <is>
          <t>產品規格</t>
        </is>
      </c>
      <c r="H6" s="10" t="inlineStr">
        <is>
          <t>OCP 2026 展示</t>
        </is>
      </c>
      <c r="I6" s="27" t="n">
        <v>660</v>
      </c>
      <c r="J6" s="10" t="inlineStr">
        <is>
          <t>kW</t>
        </is>
      </c>
      <c r="K6" s="10" t="str"/>
      <c r="L6" s="27" t="n"/>
      <c r="M6" s="10" t="inlineStr">
        <is>
          <t>無</t>
        </is>
      </c>
      <c r="N6" s="28" t="n"/>
      <c r="O6" s="28" t="n"/>
      <c r="P6" s="27" t="n"/>
      <c r="Q6" s="27" t="n"/>
      <c r="R6" s="28" t="n"/>
      <c r="S6" s="10" t="inlineStr">
        <is>
          <t>未揭露可比基期；不倒推</t>
        </is>
      </c>
      <c r="T6" s="10" t="inlineStr">
        <is>
          <t>Delta</t>
        </is>
      </c>
      <c r="U6" s="10" t="str"/>
      <c r="V6" s="10" t="inlineStr">
        <is>
          <t>https://www.prnewswire.com/news-releases/delta-highlights-collaboration-with-nvidia-in-advancing-energy-efficient-800-vdc-power-and-cooling-solutions-for-ai-data-centers-at-ocp-global-summit-2026-302909912.html</t>
        </is>
      </c>
    </row>
    <row r="7" ht="43.20000076293945" customHeight="1">
      <c r="A7" s="23" t="n">
        <v>46312</v>
      </c>
      <c r="B7" s="23" t="n">
        <v>46310</v>
      </c>
      <c r="C7" s="10" t="inlineStr">
        <is>
          <t>2026-10-17:13</t>
        </is>
      </c>
      <c r="D7" s="10" t="inlineStr">
        <is>
          <t>台灣；美國</t>
        </is>
      </c>
      <c r="E7" s="10" t="inlineStr">
        <is>
          <t>AI 資料中心；伺服器；電源；液冷</t>
        </is>
      </c>
      <c r="F7" s="10" t="inlineStr">
        <is>
          <t>備援額定能力</t>
        </is>
      </c>
      <c r="G7" s="10" t="inlineStr">
        <is>
          <t>產品規格</t>
        </is>
      </c>
      <c r="H7" s="10" t="inlineStr">
        <is>
          <t>OCP 2026 展示</t>
        </is>
      </c>
      <c r="I7" s="27" t="n">
        <v>480</v>
      </c>
      <c r="J7" s="10" t="inlineStr">
        <is>
          <t>kW</t>
        </is>
      </c>
      <c r="K7" s="10" t="str"/>
      <c r="L7" s="27" t="n"/>
      <c r="M7" s="10" t="inlineStr">
        <is>
          <t>無</t>
        </is>
      </c>
      <c r="N7" s="28" t="n"/>
      <c r="O7" s="28" t="n"/>
      <c r="P7" s="27" t="n"/>
      <c r="Q7" s="27" t="n"/>
      <c r="R7" s="28" t="n"/>
      <c r="S7" s="10" t="inlineStr">
        <is>
          <t>未揭露可比基期；不倒推</t>
        </is>
      </c>
      <c r="T7" s="10" t="inlineStr">
        <is>
          <t>Delta</t>
        </is>
      </c>
      <c r="U7" s="10" t="str"/>
      <c r="V7" s="10" t="inlineStr">
        <is>
          <t>https://www.prnewswire.com/news-releases/delta-highlights-collaboration-with-nvidia-in-advancing-energy-efficient-800-vdc-power-and-cooling-solutions-for-ai-data-centers-at-ocp-global-summit-2026-302909912.html</t>
        </is>
      </c>
    </row>
    <row r="8" ht="28.79999923706055" customHeight="1">
      <c r="A8" s="23" t="n">
        <v>46312</v>
      </c>
      <c r="B8" s="23" t="n">
        <v>46311</v>
      </c>
      <c r="C8" s="10" t="inlineStr">
        <is>
          <t>2026-10-17:15</t>
        </is>
      </c>
      <c r="D8" s="10" t="inlineStr">
        <is>
          <t>台灣；美國</t>
        </is>
      </c>
      <c r="E8" s="10" t="inlineStr">
        <is>
          <t>終端 AI；PC；IC 設計；封裝</t>
        </is>
      </c>
      <c r="F8" s="10" t="inlineStr">
        <is>
          <t>最高統一記憶體規格</t>
        </is>
      </c>
      <c r="G8" s="10" t="inlineStr">
        <is>
          <t>產品規格</t>
        </is>
      </c>
      <c r="H8" s="10" t="inlineStr">
        <is>
          <t>2026-10-16 發布</t>
        </is>
      </c>
      <c r="I8" s="27" t="n">
        <v>128</v>
      </c>
      <c r="J8" s="10" t="inlineStr">
        <is>
          <t>GB</t>
        </is>
      </c>
      <c r="K8" s="10" t="str"/>
      <c r="L8" s="27" t="n"/>
      <c r="M8" s="10" t="inlineStr">
        <is>
          <t>無</t>
        </is>
      </c>
      <c r="N8" s="28" t="n"/>
      <c r="O8" s="28" t="n"/>
      <c r="P8" s="27" t="n"/>
      <c r="Q8" s="27" t="n"/>
      <c r="R8" s="28" t="n"/>
      <c r="S8" s="10" t="inlineStr">
        <is>
          <t>未揭露可比基期；不倒推</t>
        </is>
      </c>
      <c r="T8" s="10" t="inlineStr">
        <is>
          <t>NVIDIA</t>
        </is>
      </c>
      <c r="U8" s="10" t="str"/>
      <c r="V8" s="10" t="inlineStr">
        <is>
          <t>https://nvidianews.nvidia.com/news/nvidia-rtx-spark-pcs-available-today-a-new-beginning-for-windows-pcs</t>
        </is>
      </c>
    </row>
    <row r="9" ht="15" customHeight="1">
      <c r="A9" s="23" t="n">
        <v>46312</v>
      </c>
      <c r="B9" s="23" t="n">
        <v>46311</v>
      </c>
      <c r="C9" s="10" t="inlineStr">
        <is>
          <t>2026-10-17:4</t>
        </is>
      </c>
      <c r="D9" s="10" t="inlineStr">
        <is>
          <t>台灣；美國</t>
        </is>
      </c>
      <c r="E9" s="10" t="inlineStr">
        <is>
          <t>海外工業園區；電子供應鏈</t>
        </is>
      </c>
      <c r="F9" s="10" t="inlineStr">
        <is>
          <t>每座園區估算下限</t>
        </is>
      </c>
      <c r="G9" s="10" t="inlineStr">
        <is>
          <t>規劃估算</t>
        </is>
      </c>
      <c r="H9" s="10" t="inlineStr">
        <is>
          <t>規劃期未定</t>
        </is>
      </c>
      <c r="I9" s="27" t="n">
        <v>2</v>
      </c>
      <c r="J9" s="10" t="inlineStr">
        <is>
          <t>USD billion</t>
        </is>
      </c>
      <c r="K9" s="10" t="str"/>
      <c r="L9" s="27" t="n"/>
      <c r="M9" s="10" t="inlineStr">
        <is>
          <t>無</t>
        </is>
      </c>
      <c r="N9" s="28" t="n"/>
      <c r="O9" s="28" t="n"/>
      <c r="P9" s="27" t="n"/>
      <c r="Q9" s="27" t="n"/>
      <c r="R9" s="28" t="n"/>
      <c r="S9" s="10" t="inlineStr">
        <is>
          <t>未揭露可比基期；不倒推</t>
        </is>
      </c>
      <c r="T9" s="10" t="inlineStr">
        <is>
          <t>經濟部，由 CNA 報導</t>
        </is>
      </c>
      <c r="U9" s="10" t="str"/>
      <c r="V9" s="10" t="inlineStr">
        <is>
          <t>https://www.cna.com.tw/news/afe/202610160128.aspx</t>
        </is>
      </c>
    </row>
    <row r="10" ht="15" customHeight="1">
      <c r="A10" s="23" t="n">
        <v>46312</v>
      </c>
      <c r="B10" s="23" t="n">
        <v>46311</v>
      </c>
      <c r="C10" s="10" t="inlineStr">
        <is>
          <t>2026-10-17:4</t>
        </is>
      </c>
      <c r="D10" s="10" t="inlineStr">
        <is>
          <t>台灣；美國</t>
        </is>
      </c>
      <c r="E10" s="10" t="inlineStr">
        <is>
          <t>海外工業園區；電子供應鏈</t>
        </is>
      </c>
      <c r="F10" s="10" t="inlineStr">
        <is>
          <t>每座園區估算上限</t>
        </is>
      </c>
      <c r="G10" s="10" t="inlineStr">
        <is>
          <t>規劃估算</t>
        </is>
      </c>
      <c r="H10" s="10" t="inlineStr">
        <is>
          <t>規劃期未定</t>
        </is>
      </c>
      <c r="I10" s="27" t="n">
        <v>4</v>
      </c>
      <c r="J10" s="10" t="inlineStr">
        <is>
          <t>USD billion</t>
        </is>
      </c>
      <c r="K10" s="10" t="str"/>
      <c r="L10" s="27" t="n"/>
      <c r="M10" s="10" t="inlineStr">
        <is>
          <t>無</t>
        </is>
      </c>
      <c r="N10" s="28" t="n"/>
      <c r="O10" s="28" t="n"/>
      <c r="P10" s="27" t="n"/>
      <c r="Q10" s="27" t="n"/>
      <c r="R10" s="28" t="n"/>
      <c r="S10" s="10" t="inlineStr">
        <is>
          <t>未揭露可比基期；不倒推</t>
        </is>
      </c>
      <c r="T10" s="10" t="inlineStr">
        <is>
          <t>經濟部，由 CNA 報導</t>
        </is>
      </c>
      <c r="U10" s="10" t="str"/>
      <c r="V10" s="10" t="inlineStr">
        <is>
          <t>https://www.cna.com.tw/news/afe/202610160128.aspx</t>
        </is>
      </c>
    </row>
    <row r="11" ht="28.79999923706055" customHeight="1">
      <c r="A11" s="23" t="n">
        <v>46312</v>
      </c>
      <c r="B11" s="23" t="n">
        <v>46311</v>
      </c>
      <c r="C11" s="10" t="inlineStr">
        <is>
          <t>2026-10-17:11</t>
        </is>
      </c>
      <c r="D11" s="10" t="inlineStr">
        <is>
          <t>台灣</t>
        </is>
      </c>
      <c r="E11" s="10" t="inlineStr">
        <is>
          <t>總體經濟；AI 投資</t>
        </is>
      </c>
      <c r="F11" s="10" t="inlineStr">
        <is>
          <t>2026 年 GDP 成長預測</t>
        </is>
      </c>
      <c r="G11" s="10" t="inlineStr">
        <is>
          <t>預測</t>
        </is>
      </c>
      <c r="H11" s="10" t="inlineStr">
        <is>
          <t>2026 全年，2026-10 預測版</t>
        </is>
      </c>
      <c r="I11" s="29" t="n">
        <v>0.1216</v>
      </c>
      <c r="J11" s="10" t="inlineStr">
        <is>
          <t>%</t>
        </is>
      </c>
      <c r="K11" s="10" t="inlineStr">
        <is>
          <t>2026 全年，2026-07 預測版</t>
        </is>
      </c>
      <c r="L11" s="29" t="n">
        <v>0.1035</v>
      </c>
      <c r="M11" s="10" t="inlineStr">
        <is>
          <t>預測修訂</t>
        </is>
      </c>
      <c r="N11" s="28" t="n"/>
      <c r="O11" s="28" t="n"/>
      <c r="P11" s="27" t="n"/>
      <c r="Q11" s="27">
        <f>(I11-L11)*100</f>
        <v/>
      </c>
      <c r="R11" s="28" t="n"/>
      <c r="S11" s="10" t="inlineStr">
        <is>
          <t>已揭露</t>
        </is>
      </c>
      <c r="T11" s="10" t="inlineStr">
        <is>
          <t>CIER</t>
        </is>
      </c>
      <c r="U11" s="10" t="str"/>
      <c r="V11" s="10" t="inlineStr">
        <is>
          <t>https://www.cier.edu.tw/eco/2026%E5%B9%B4%E7%AC%AC4%E5%AD%A3%E8%87%BA%E7%81%A3%E7%B6%93%E6%BF%9F%E9%A0%90%E6%B8%AC/</t>
        </is>
      </c>
    </row>
    <row r="12" ht="28.79999923706055" customHeight="1">
      <c r="A12" s="23" t="n">
        <v>46312</v>
      </c>
      <c r="B12" s="23" t="n">
        <v>46310</v>
      </c>
      <c r="C12" s="10" t="inlineStr">
        <is>
          <t>2026-10-17:18</t>
        </is>
      </c>
      <c r="D12" s="10" t="inlineStr">
        <is>
          <t>越南</t>
        </is>
      </c>
      <c r="E12" s="10" t="inlineStr">
        <is>
          <t>AI 資料中心；電源；能源</t>
        </is>
      </c>
      <c r="F12" s="10" t="inlineStr">
        <is>
          <t>既有資料中心投資計畫</t>
        </is>
      </c>
      <c r="G12" s="10" t="inlineStr">
        <is>
          <t>既有規劃</t>
        </is>
      </c>
      <c r="H12" s="10" t="inlineStr">
        <is>
          <t>2026-03 公布，2026-10 電價追蹤</t>
        </is>
      </c>
      <c r="I12" s="27" t="n">
        <v>2.1</v>
      </c>
      <c r="J12" s="10" t="inlineStr">
        <is>
          <t>USD billion</t>
        </is>
      </c>
      <c r="K12" s="10" t="str"/>
      <c r="L12" s="27" t="n"/>
      <c r="M12" s="10" t="inlineStr">
        <is>
          <t>無</t>
        </is>
      </c>
      <c r="N12" s="28" t="n"/>
      <c r="O12" s="28" t="n"/>
      <c r="P12" s="27" t="n"/>
      <c r="Q12" s="27" t="n"/>
      <c r="R12" s="28" t="n"/>
      <c r="S12" s="10" t="inlineStr">
        <is>
          <t>未揭露可比基期；不倒推</t>
        </is>
      </c>
      <c r="T12" s="10" t="inlineStr">
        <is>
          <t>AIC / KBC，由 TNGlobal 報導</t>
        </is>
      </c>
      <c r="U12" s="10" t="str"/>
      <c r="V12" s="10" t="inlineStr">
        <is>
          <t>https://technode.global/2026/10/16/hcmc-seeks-clarification-on-power-price-for-2-1b-ai-data-center/</t>
        </is>
      </c>
    </row>
    <row r="13" ht="28.79999923706055" customHeight="1">
      <c r="A13" s="23" t="n">
        <v>46312</v>
      </c>
      <c r="B13" s="23" t="n">
        <v>46310</v>
      </c>
      <c r="C13" s="10" t="inlineStr">
        <is>
          <t>2026-10-17:18</t>
        </is>
      </c>
      <c r="D13" s="10" t="inlineStr">
        <is>
          <t>越南</t>
        </is>
      </c>
      <c r="E13" s="10" t="inlineStr">
        <is>
          <t>AI 資料中心；電源；能源</t>
        </is>
      </c>
      <c r="F13" s="10" t="inlineStr">
        <is>
          <t>首期規劃容量上限</t>
        </is>
      </c>
      <c r="G13" s="10" t="inlineStr">
        <is>
          <t>既有規劃，非已通電容量</t>
        </is>
      </c>
      <c r="H13" s="10" t="inlineStr">
        <is>
          <t>首期規劃，投產時程待核實</t>
        </is>
      </c>
      <c r="I13" s="27" t="n">
        <v>50</v>
      </c>
      <c r="J13" s="10" t="inlineStr">
        <is>
          <t>MW</t>
        </is>
      </c>
      <c r="K13" s="10" t="str"/>
      <c r="L13" s="27" t="n"/>
      <c r="M13" s="10" t="inlineStr">
        <is>
          <t>無</t>
        </is>
      </c>
      <c r="N13" s="28" t="n"/>
      <c r="O13" s="28" t="n"/>
      <c r="P13" s="27" t="n"/>
      <c r="Q13" s="27" t="n"/>
      <c r="R13" s="28" t="n"/>
      <c r="S13" s="10" t="inlineStr">
        <is>
          <t>未提供可比基期；不倒推</t>
        </is>
      </c>
      <c r="T13" s="10" t="inlineStr">
        <is>
          <t>AIC / KBC 計畫，由 TNGlobal 報導</t>
        </is>
      </c>
      <c r="U13" s="10" t="str"/>
      <c r="V13" s="10" t="inlineStr">
        <is>
          <t>https://technode.global/2026/10/16/hcmc-seeks-clarification-on-power-price-for-2-1b-ai-data-center/</t>
        </is>
      </c>
    </row>
    <row r="14" ht="15" customHeight="1">
      <c r="A14" s="23" t="n">
        <v>46312</v>
      </c>
      <c r="B14" s="23" t="n">
        <v>46311</v>
      </c>
      <c r="C14" s="10" t="inlineStr">
        <is>
          <t>2026-10-17:19</t>
        </is>
      </c>
      <c r="D14" s="10" t="inlineStr">
        <is>
          <t>馬來西亞；台灣</t>
        </is>
      </c>
      <c r="E14" s="10" t="inlineStr">
        <is>
          <t>半導體；後段封測；設備服務</t>
        </is>
      </c>
      <c r="F14" s="10" t="inlineStr">
        <is>
          <t>活動職缺下限</t>
        </is>
      </c>
      <c r="G14" s="10" t="inlineStr">
        <is>
          <t>超過此數，非實際聘用</t>
        </is>
      </c>
      <c r="H14" s="10" t="inlineStr">
        <is>
          <t>2026-10 中旬招募；起日來源有差異</t>
        </is>
      </c>
      <c r="I14" s="27" t="n">
        <v>1500</v>
      </c>
      <c r="J14" s="10" t="inlineStr">
        <is>
          <t>個職缺</t>
        </is>
      </c>
      <c r="K14" s="10" t="str"/>
      <c r="L14" s="27" t="n"/>
      <c r="M14" s="10" t="inlineStr">
        <is>
          <t>無</t>
        </is>
      </c>
      <c r="N14" s="28" t="n"/>
      <c r="O14" s="28" t="n"/>
      <c r="P14" s="27" t="n"/>
      <c r="Q14" s="27" t="n"/>
      <c r="R14" s="28" t="n"/>
      <c r="S14" s="10" t="inlineStr">
        <is>
          <t>未揭露可比基期；不倒推</t>
        </is>
      </c>
      <c r="T14" s="10" t="inlineStr">
        <is>
          <t>主辦活動，由 CNA 報導</t>
        </is>
      </c>
      <c r="U14" s="10" t="str"/>
      <c r="V14" s="10" t="inlineStr">
        <is>
          <t>https://money.udn.com/money/story/5599/9819018?from=edn_newestlist_cate_side</t>
        </is>
      </c>
    </row>
    <row r="15" ht="15" customHeight="1">
      <c r="A15" s="23" t="n">
        <v>46312</v>
      </c>
      <c r="B15" s="23" t="n">
        <v>46311</v>
      </c>
      <c r="C15" s="10" t="inlineStr">
        <is>
          <t>2026-10-17:19</t>
        </is>
      </c>
      <c r="D15" s="10" t="inlineStr">
        <is>
          <t>馬來西亞；台灣</t>
        </is>
      </c>
      <c r="E15" s="10" t="inlineStr">
        <is>
          <t>半導體；後段封測；設備服務</t>
        </is>
      </c>
      <c r="F15" s="10" t="inlineStr">
        <is>
          <t>園區公司數</t>
        </is>
      </c>
      <c r="G15" s="10" t="inlineStr">
        <is>
          <t>官方陳述</t>
        </is>
      </c>
      <c r="H15" s="10" t="inlineStr">
        <is>
          <t>2026-10-16 官員說明</t>
        </is>
      </c>
      <c r="I15" s="27" t="n">
        <v>20</v>
      </c>
      <c r="J15" s="10" t="inlineStr">
        <is>
          <t>家</t>
        </is>
      </c>
      <c r="K15" s="10" t="str"/>
      <c r="L15" s="27" t="n"/>
      <c r="M15" s="10" t="inlineStr">
        <is>
          <t>無</t>
        </is>
      </c>
      <c r="N15" s="28" t="n"/>
      <c r="O15" s="28" t="n"/>
      <c r="P15" s="27" t="n"/>
      <c r="Q15" s="27" t="n"/>
      <c r="R15" s="28" t="n"/>
      <c r="S15" s="10" t="inlineStr">
        <is>
          <t>未揭露可比基期；不倒推</t>
        </is>
      </c>
      <c r="T15" s="10" t="inlineStr">
        <is>
          <t>雪蘭莪官員，由 CNA 報導</t>
        </is>
      </c>
      <c r="U15" s="10" t="str"/>
      <c r="V15" s="10" t="inlineStr">
        <is>
          <t>https://money.udn.com/money/story/5599/9819018?from=edn_newestlist_cate_side</t>
        </is>
      </c>
    </row>
    <row r="16" ht="15" customHeight="1">
      <c r="A16" s="23" t="n">
        <v>46312</v>
      </c>
      <c r="B16" s="23" t="n">
        <v>46311</v>
      </c>
      <c r="C16" s="10" t="inlineStr">
        <is>
          <t>2026-10-17:19</t>
        </is>
      </c>
      <c r="D16" s="10" t="inlineStr">
        <is>
          <t>馬來西亞；台灣</t>
        </is>
      </c>
      <c r="E16" s="10" t="inlineStr">
        <is>
          <t>半導體；後段封測；設備服務</t>
        </is>
      </c>
      <c r="F16" s="10" t="inlineStr">
        <is>
          <t>園區工程師數</t>
        </is>
      </c>
      <c r="G16" s="10" t="inlineStr">
        <is>
          <t>官方陳述</t>
        </is>
      </c>
      <c r="H16" s="10" t="inlineStr">
        <is>
          <t>2026-10-16 官員說明</t>
        </is>
      </c>
      <c r="I16" s="27" t="n">
        <v>409</v>
      </c>
      <c r="J16" s="10" t="inlineStr">
        <is>
          <t>人</t>
        </is>
      </c>
      <c r="K16" s="10" t="str"/>
      <c r="L16" s="27" t="n"/>
      <c r="M16" s="10" t="inlineStr">
        <is>
          <t>無</t>
        </is>
      </c>
      <c r="N16" s="28" t="n"/>
      <c r="O16" s="28" t="n"/>
      <c r="P16" s="27" t="n"/>
      <c r="Q16" s="27" t="n"/>
      <c r="R16" s="28" t="n"/>
      <c r="S16" s="10" t="inlineStr">
        <is>
          <t>未揭露可比基期；不倒推</t>
        </is>
      </c>
      <c r="T16" s="10" t="inlineStr">
        <is>
          <t>雪蘭莪官員，由 CNA 報導</t>
        </is>
      </c>
      <c r="U16" s="10" t="str"/>
      <c r="V16" s="10" t="inlineStr">
        <is>
          <t>https://money.udn.com/money/story/5599/9819018?from=edn_newestlist_cate_side</t>
        </is>
      </c>
    </row>
    <row r="17" ht="28.79999923706055" customHeight="1">
      <c r="A17" s="23" t="n">
        <v>46312</v>
      </c>
      <c r="B17" s="23" t="n">
        <v>46311</v>
      </c>
      <c r="C17" s="10" t="inlineStr">
        <is>
          <t>2026-10-17:19</t>
        </is>
      </c>
      <c r="D17" s="10" t="inlineStr">
        <is>
          <t>馬來西亞；台灣</t>
        </is>
      </c>
      <c r="E17" s="10" t="inlineStr">
        <is>
          <t>半導體；後段封測；設備服務</t>
        </is>
      </c>
      <c r="F17" s="10" t="inlineStr">
        <is>
          <t>合作計畫規模</t>
        </is>
      </c>
      <c r="G17" s="10" t="inlineStr">
        <is>
          <t>官員陳述的計畫規模，非已實現 FDI</t>
        </is>
      </c>
      <c r="H17" s="10" t="inlineStr">
        <is>
          <t>2026-10-16 官員說明，撥款時程未披露</t>
        </is>
      </c>
      <c r="I17" s="27" t="n">
        <v>150</v>
      </c>
      <c r="J17" s="10" t="inlineStr">
        <is>
          <t>MYR million</t>
        </is>
      </c>
      <c r="K17" s="10" t="str"/>
      <c r="L17" s="27" t="n"/>
      <c r="M17" s="10" t="inlineStr">
        <is>
          <t>無</t>
        </is>
      </c>
      <c r="N17" s="28" t="n"/>
      <c r="O17" s="28" t="n"/>
      <c r="P17" s="27" t="n"/>
      <c r="Q17" s="27" t="n"/>
      <c r="R17" s="28" t="n"/>
      <c r="S17" s="10" t="inlineStr">
        <is>
          <t>未提供可比基期；不倒推</t>
        </is>
      </c>
      <c r="T17" s="10" t="inlineStr">
        <is>
          <t>雪蘭莪官員，由 CNA 報導</t>
        </is>
      </c>
      <c r="U17" s="10" t="str"/>
      <c r="V17" s="10" t="inlineStr">
        <is>
          <t>https://money.udn.com/money/story/5599/9819018?from=edn_newestlist_cate_side</t>
        </is>
      </c>
    </row>
    <row r="18" ht="28.79999923706055" customHeight="1">
      <c r="A18" s="23" t="n">
        <v>46312</v>
      </c>
      <c r="B18" s="23" t="n">
        <v>46298</v>
      </c>
      <c r="C18" s="10" t="inlineStr">
        <is>
          <t>2026-10-17:20</t>
        </is>
      </c>
      <c r="D18" s="10" t="inlineStr">
        <is>
          <t>越南；新加坡</t>
        </is>
      </c>
      <c r="E18" s="10" t="inlineStr">
        <is>
          <t>製造業；外商投資；工業電源</t>
        </is>
      </c>
      <c r="F18" s="10" t="inlineStr">
        <is>
          <t>FDI 實現額估計</t>
        </is>
      </c>
      <c r="G18" s="10" t="inlineStr">
        <is>
          <t>官方估計</t>
        </is>
      </c>
      <c r="H18" s="10" t="inlineStr">
        <is>
          <t>2026-01 至 2026-09</t>
        </is>
      </c>
      <c r="I18" s="27" t="n">
        <v>21.07</v>
      </c>
      <c r="J18" s="10" t="inlineStr">
        <is>
          <t>USD billion</t>
        </is>
      </c>
      <c r="K18" s="10" t="inlineStr">
        <is>
          <t>2025-01 至 2025-09</t>
        </is>
      </c>
      <c r="L18" s="27" t="n"/>
      <c r="M18" s="10" t="inlineStr">
        <is>
          <t>YoY</t>
        </is>
      </c>
      <c r="N18" s="28" t="n">
        <v>0.121</v>
      </c>
      <c r="O18" s="28" t="n"/>
      <c r="P18" s="27" t="n"/>
      <c r="Q18" s="27" t="n"/>
      <c r="R18" s="28" t="n"/>
      <c r="S18" s="10" t="inlineStr">
        <is>
          <t>未揭露可比基期；不倒推</t>
        </is>
      </c>
      <c r="T18" s="10" t="inlineStr">
        <is>
          <t>越南國家統計局，由政府新聞網公布</t>
        </is>
      </c>
      <c r="U18" s="10" t="str"/>
      <c r="V18" s="10" t="inlineStr">
        <is>
          <t>https://en.baochinhphu.vn/viet-nams-gdp-growth-accelerates-to-995-in-q3-111261003093646463.htm</t>
        </is>
      </c>
    </row>
    <row r="19" ht="28.79999923706055" customHeight="1">
      <c r="A19" s="23" t="n">
        <v>46312</v>
      </c>
      <c r="B19" s="23" t="n">
        <v>46298</v>
      </c>
      <c r="C19" s="10" t="inlineStr">
        <is>
          <t>2026-10-17:20</t>
        </is>
      </c>
      <c r="D19" s="10" t="inlineStr">
        <is>
          <t>越南；新加坡</t>
        </is>
      </c>
      <c r="E19" s="10" t="inlineStr">
        <is>
          <t>製造業；外商投資；工業電源</t>
        </is>
      </c>
      <c r="F19" s="10" t="inlineStr">
        <is>
          <t>總註冊外資</t>
        </is>
      </c>
      <c r="G19" s="10" t="inlineStr">
        <is>
          <t>官方統計</t>
        </is>
      </c>
      <c r="H19" s="10" t="inlineStr">
        <is>
          <t>2026-01 至 2026-09</t>
        </is>
      </c>
      <c r="I19" s="27" t="n">
        <v>50.36</v>
      </c>
      <c r="J19" s="10" t="inlineStr">
        <is>
          <t>USD billion</t>
        </is>
      </c>
      <c r="K19" s="10" t="inlineStr">
        <is>
          <t>2025-01 至 2025-09</t>
        </is>
      </c>
      <c r="L19" s="27" t="n"/>
      <c r="M19" s="10" t="inlineStr">
        <is>
          <t>YoY</t>
        </is>
      </c>
      <c r="N19" s="28" t="n">
        <v>0.764</v>
      </c>
      <c r="O19" s="28" t="n"/>
      <c r="P19" s="27" t="n"/>
      <c r="Q19" s="27" t="n"/>
      <c r="R19" s="28" t="n"/>
      <c r="S19" s="10" t="inlineStr">
        <is>
          <t>未揭露可比基期；不倒推</t>
        </is>
      </c>
      <c r="T19" s="10" t="inlineStr">
        <is>
          <t>越南國家統計局，由政府新聞網公布</t>
        </is>
      </c>
      <c r="U19" s="10" t="str"/>
      <c r="V19" s="10" t="inlineStr">
        <is>
          <t>https://en.baochinhphu.vn/viet-nams-gdp-growth-accelerates-to-995-in-q3-111261003093646463.htm</t>
        </is>
      </c>
    </row>
    <row r="20" ht="28.79999923706055" customHeight="1">
      <c r="A20" s="23" t="n">
        <v>46312</v>
      </c>
      <c r="B20" s="23" t="n">
        <v>46298</v>
      </c>
      <c r="C20" s="10" t="inlineStr">
        <is>
          <t>2026-10-17:20</t>
        </is>
      </c>
      <c r="D20" s="10" t="inlineStr">
        <is>
          <t>越南；新加坡</t>
        </is>
      </c>
      <c r="E20" s="10" t="inlineStr">
        <is>
          <t>製造業；外商投資；工業電源</t>
        </is>
      </c>
      <c r="F20" s="10" t="inlineStr">
        <is>
          <t>製造加工業新案與增資</t>
        </is>
      </c>
      <c r="G20" s="10" t="inlineStr">
        <is>
          <t>媒體引述分項，官方原表待核對</t>
        </is>
      </c>
      <c r="H20" s="10" t="inlineStr">
        <is>
          <t>2026-01 至 2026-09</t>
        </is>
      </c>
      <c r="I20" s="27" t="n">
        <v>21.82</v>
      </c>
      <c r="J20" s="10" t="inlineStr">
        <is>
          <t>USD billion</t>
        </is>
      </c>
      <c r="K20" s="10" t="str"/>
      <c r="L20" s="27" t="n"/>
      <c r="M20" s="10" t="inlineStr">
        <is>
          <t>無</t>
        </is>
      </c>
      <c r="N20" s="28" t="n"/>
      <c r="O20" s="28" t="n"/>
      <c r="P20" s="27" t="n"/>
      <c r="Q20" s="27" t="n"/>
      <c r="R20" s="28" t="n"/>
      <c r="S20" s="10" t="inlineStr">
        <is>
          <t>未提供可比基期；不倒推</t>
        </is>
      </c>
      <c r="T20" s="10" t="inlineStr">
        <is>
          <t>越南統計資料，由 VnEconomy 轉述</t>
        </is>
      </c>
      <c r="U20" s="10" t="str"/>
      <c r="V20" s="10" t="inlineStr">
        <is>
          <t>https://en.vneconomy.vn/vietnams-fdi-attraction-reaches-5036bln-in-9m.htm</t>
        </is>
      </c>
    </row>
    <row r="21" ht="28.79999923706055" customHeight="1">
      <c r="A21" s="24" t="n">
        <v>46312</v>
      </c>
      <c r="B21" s="24" t="n">
        <v>46298</v>
      </c>
      <c r="C21" s="11" t="inlineStr">
        <is>
          <t>2026-10-17:20</t>
        </is>
      </c>
      <c r="D21" s="11" t="inlineStr">
        <is>
          <t>越南；新加坡</t>
        </is>
      </c>
      <c r="E21" s="11" t="inlineStr">
        <is>
          <t>製造業；外商投資；工業電源</t>
        </is>
      </c>
      <c r="F21" s="11" t="inlineStr">
        <is>
          <t>新加坡來源的新註冊資本</t>
        </is>
      </c>
      <c r="G21" s="11" t="inlineStr">
        <is>
          <t>媒體引述分項，官方原表待核對</t>
        </is>
      </c>
      <c r="H21" s="11" t="inlineStr">
        <is>
          <t>2026-01 至 2026-09</t>
        </is>
      </c>
      <c r="I21" s="30" t="n">
        <v>9.26</v>
      </c>
      <c r="J21" s="11" t="inlineStr">
        <is>
          <t>USD billion</t>
        </is>
      </c>
      <c r="K21" s="11" t="str"/>
      <c r="L21" s="30" t="n"/>
      <c r="M21" s="11" t="inlineStr">
        <is>
          <t>無</t>
        </is>
      </c>
      <c r="N21" s="31" t="n"/>
      <c r="O21" s="31" t="n"/>
      <c r="P21" s="30" t="n"/>
      <c r="Q21" s="30" t="n"/>
      <c r="R21" s="31" t="n"/>
      <c r="S21" s="11" t="inlineStr">
        <is>
          <t>未提供可比基期；不倒推</t>
        </is>
      </c>
      <c r="T21" s="11" t="inlineStr">
        <is>
          <t>越南統計資料，由 VnEconomy 轉述</t>
        </is>
      </c>
      <c r="U21" s="11" t="str"/>
      <c r="V21" s="11" t="inlineStr">
        <is>
          <t>https://en.vneconomy.vn/vietnams-fdi-attraction-reaches-5036bln-in-9m.htm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D9DFD6"/>
    <outlinePr summaryBelow="1" summaryRight="1"/>
    <pageSetUpPr/>
  </sheetPr>
  <dimension ref="A1:B1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15" customHeight="1">
      <c r="A1" s="7" t="inlineStr">
        <is>
          <t>欄位／方法</t>
        </is>
      </c>
      <c r="B1" s="7" t="inlineStr">
        <is>
          <t>定義</t>
        </is>
      </c>
    </row>
    <row r="2" ht="15" customHeight="1">
      <c r="A2" s="9" t="inlineStr">
        <is>
          <t>涵蓋範圍</t>
        </is>
      </c>
      <c r="B2" s="9" t="inlineStr">
        <is>
          <t>半導體設備、精密電源、資料中心與工業上下游供應鏈。內容整理已公布事實、數據、來源及資料缺口。</t>
        </is>
      </c>
    </row>
    <row r="3" ht="15" customHeight="1">
      <c r="A3" s="10" t="inlineStr">
        <is>
          <t>國家範圍</t>
        </is>
      </c>
      <c r="B3" s="10" t="inlineStr">
        <is>
          <t>聚焦台灣與東南亞。美國等國家只在直接連結台灣供應鏈時列為關聯地點。</t>
        </is>
      </c>
    </row>
    <row r="4" ht="15" customHeight="1">
      <c r="A4" s="10" t="inlineStr">
        <is>
          <t>日期</t>
        </is>
      </c>
      <c r="B4" s="10" t="inlineStr">
        <is>
          <t>刊期與事件日期分欄。週報刊期欄為週起日，個別事件日期請查數值明細與日報。背景資料保留原發布時間。</t>
        </is>
      </c>
    </row>
    <row r="5" ht="28.79999923706055" customHeight="1">
      <c r="A5" s="10" t="inlineStr">
        <is>
          <t>市場動向</t>
        </is>
      </c>
      <c r="B5" s="10" t="inlineStr">
        <is>
          <t>日報每則一列。週報依精選五個主題合併，數值明細保留各事件。市場表連結至日報完整來源，數值表連結至原始數據。下載完整刊期，不受頁面搜尋篩選影響。</t>
        </is>
      </c>
    </row>
    <row r="6" ht="15" customHeight="1">
      <c r="A6" s="10" t="inlineStr">
        <is>
          <t>數值與單位</t>
        </is>
      </c>
      <c r="B6" s="10" t="inlineStr">
        <is>
          <t>數值為可計算儲存格，貨幣單位獨立。百分比底層為小數，顯示百分比。不同公司、期間、產品規格及計畫金額不可任意加總。</t>
        </is>
      </c>
    </row>
    <row r="7" ht="15" customHeight="1">
      <c r="A7" s="10" t="inlineStr">
        <is>
          <t>Base</t>
        </is>
      </c>
      <c r="B7" s="10" t="inlineStr">
        <is>
          <t>只填來源明示的同口徑基期。缺少則留空並註明，不從已四捨五入成長率反推精確基期。</t>
        </is>
      </c>
    </row>
    <row r="8" ht="15" customHeight="1">
      <c r="A8" s="10" t="inlineStr">
        <is>
          <t>YoY / QoQ</t>
        </is>
      </c>
      <c r="B8" s="10" t="inlineStr">
        <is>
          <t>分欄記錄來源公布的年增率與季增率。數值明細可能用不同列表示同一指標的不同比較口徑。</t>
        </is>
      </c>
    </row>
    <row r="9" ht="15" customHeight="1">
      <c r="A9" s="10" t="inlineStr">
        <is>
          <t>變動計算</t>
        </is>
      </c>
      <c r="B9" s="10" t="inlineStr">
        <is>
          <t>同口徑且基期可用時，金額變動＝本期減基期；變動率＝本期除基期減一。基期為零時變動率留空。</t>
        </is>
      </c>
    </row>
    <row r="10" ht="15" customHeight="1">
      <c r="A10" s="10" t="inlineStr">
        <is>
          <t>百分點</t>
        </is>
      </c>
      <c r="B10" s="10" t="inlineStr">
        <is>
          <t>比例或成長率的修訂以百分點表示。例如 GDP 預測由 10.35% 到 12.16%，增加 1.81 個百分點，並非年增 1.81%。</t>
        </is>
      </c>
    </row>
    <row r="11" ht="15" customHeight="1">
      <c r="A11" s="10" t="inlineStr">
        <is>
          <t>資料性質</t>
        </is>
      </c>
      <c r="B11" s="10" t="inlineStr">
        <is>
          <t>區分實績、官方估計、預測、公司目標、規劃與產品規格。規劃不是已實現 FDI，額定能力不是實際用電，職缺不是聘用。</t>
        </is>
      </c>
    </row>
    <row r="12" ht="15" customHeight="1">
      <c r="A12" s="10" t="inlineStr">
        <is>
          <t>自行分析</t>
        </is>
      </c>
      <c r="B12" s="10" t="inlineStr">
        <is>
          <t>影響評估與分析備註欄留白，由讀者填寫。未披露的訂單或影響金額保持未知。</t>
        </is>
      </c>
    </row>
    <row r="13" ht="15" customHeight="1">
      <c r="A13" s="10" t="inlineStr">
        <is>
          <t>背景資料</t>
        </is>
      </c>
      <c r="B13" s="10" t="inlineStr">
        <is>
          <t>CoWoS 與美光屬本週追蹤；越南 FDI 於 10/3 發布，非今日新統計。</t>
        </is>
      </c>
    </row>
    <row r="14" ht="72" customHeight="1">
      <c r="A14" s="10" t="inlineStr">
        <is>
          <t>來源限制</t>
        </is>
      </c>
      <c r="B14" s="10" t="inlineStr">
        <is>
          <t>本期聚焦台灣與東南亞。CoWoS、美光、10 月 14 日工廠 AI 合作及越南 10 月 3 日 FDI 資料明列為追蹤或背景。展示規格、公司目標、園區估算與 GDP 預測均非已完成訂單。友達與馬來西亞園區數字依具名採訪；胡志明市電價缺原始會議文件及最終費率，越南製造業及資金來源分項未核對官方原表，這些部分屬來源受限。未披露的訂單、基期與影響金額保持未知。 活動地點依主辦資料補充；MSRD 招募起日存在 10/14 與 10/15 兩種主辦頁記載，KLCC 場館則一致。</t>
        </is>
      </c>
    </row>
    <row r="15" ht="15" customHeight="1">
      <c r="A15" s="10" t="inlineStr">
        <is>
          <t>地點判讀</t>
        </is>
      </c>
      <c r="B15" s="10" t="inlineStr">
        <is>
          <t>活動場館、企業所在地與投資案址分開記錄。未核實的場館保持未知，不以公司總部代替。</t>
        </is>
      </c>
    </row>
    <row r="16" ht="15" customHeight="1">
      <c r="A16" s="11" t="inlineStr">
        <is>
          <t>資料更新</t>
        </is>
      </c>
      <c r="B16" s="11" t="n">
        <v>46312.49570783565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2026-10-17T15:34:12Z</dcterms:created>
  <dcterms:modified xmlns:dcterms="http://purl.org/dc/terms/" xmlns:xsi="http://www.w3.org/2001/XMLSchema-instance" xsi:type="dcterms:W3CDTF">2026-10-17T15:35:24Z</dcterms:modified>
</cp:coreProperties>
</file>