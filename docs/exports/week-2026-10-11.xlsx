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fe66e2700b48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fa67c616f8014f5a"/>
    <x:sheet xmlns:r="http://schemas.openxmlformats.org/officeDocument/2006/relationships" name="數值明細" sheetId="2" r:id="R07568ddfeeb6407e"/>
    <x:sheet xmlns:r="http://schemas.openxmlformats.org/officeDocument/2006/relationships" name="欄位說明" sheetId="3" r:id="R4d530f8bba434e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3">
    <x:fill>
      <x:patternFill patternType="none"/>
    </x:fill>
    <x:fill>
      <x:patternFill patternType="gray125"/>
    </x:fill>
    <x:fill>
      <x:patternFill patternType="solid">
        <x:fgColor rgb="FF193D3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613b09b5e84666" /><Relationship Type="http://schemas.openxmlformats.org/officeDocument/2006/relationships/theme" Target="/xl/theme/theme1.xml" Id="Rc85c12a4b9bc4ba3" /><Relationship Type="http://schemas.openxmlformats.org/officeDocument/2006/relationships/sharedStrings" Target="/xl/sharedStrings.xml" Id="Re843ffb4f6774098" /><Relationship Type="http://schemas.openxmlformats.org/officeDocument/2006/relationships/worksheet" Target="/xl/worksheets/sheet1.xml" Id="Rfa67c616f8014f5a" /><Relationship Type="http://schemas.openxmlformats.org/officeDocument/2006/relationships/worksheet" Target="/xl/worksheets/sheet2.xml" Id="R07568ddfeeb6407e" /><Relationship Type="http://schemas.openxmlformats.org/officeDocument/2006/relationships/worksheet" Target="/xl/worksheets/sheet3.xml" Id="R4d530f8bba434ebf" /></Relationships>
</file>

<file path=xl/tables/table1.xml><?xml version="1.0" encoding="utf-8"?>
<x:table xmlns:x="http://schemas.openxmlformats.org/spreadsheetml/2006/main" id="1" name="MarketEvents" displayName="MarketEvents" ref="A1:S6" headerRowCount="1" totalsRowCount="0" totalsRowShown="0">
  <x:autoFilter ref="A1:S6"/>
  <x:tableColumns count="19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AEIS 業務關聯"/>
    <x:tableColumn id="13" name="影響評估（分析）"/>
    <x:tableColumn id="14" name="影響時程"/>
    <x:tableColumn id="15" name="建議檢查事項"/>
    <x:tableColumn id="16" name="下一驗證點"/>
    <x:tableColumn id="17" name="查證信心"/>
    <x:tableColumn id="18" name="來源類型"/>
    <x:tableColumn id="19" name="來源連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17" headerRowCount="1" totalsRowCount="0" totalsRowShown="0">
  <x:autoFilter ref="A1:V17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對 AEIS 影響評估（分析）"/>
    <x:tableColumn id="22" name="來源連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8d00ceac6a46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fd88d5d5a3240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f4e515f2399424a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28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AEIS 業務關聯</x:v>
      </x:c>
      <x:c r="M1" s="7" t="str">
        <x:v>影響評估（分析）</x:v>
      </x:c>
      <x:c r="N1" s="7" t="str">
        <x:v>影響時程</x:v>
      </x:c>
      <x:c r="O1" s="7" t="str">
        <x:v>建議檢查事項</x:v>
      </x:c>
      <x:c r="P1" s="7" t="str">
        <x:v>下一驗證點</x:v>
      </x:c>
      <x:c r="Q1" s="7" t="str">
        <x:v>查證信心</x:v>
      </x:c>
      <x:c r="R1" s="7" t="str">
        <x:v>來源類型</x:v>
      </x:c>
      <x:c r="S1" s="7" t="str">
        <x:v>完整來源與日報連結</x:v>
      </x:c>
    </x:row>
    <x:row r="2" ht="72" hidden="0" customHeight="1">
      <x:c r="A2" s="8" t="d">
        <x:v>2026-10-11T00:00:00.000Z</x:v>
      </x:c>
      <x:c r="B2" s="8"/>
      <x:c r="C2" s="3" t="str">
        <x:v>週主題 1</x:v>
      </x:c>
      <x:c r="D2" s="3" t="str">
        <x:v>台灣；美國</x:v>
      </x:c>
      <x:c r="E2" s="3" t="str">
        <x:v>AI 半導體；HBM；先進封裝；測試</x:v>
      </x:c>
      <x:c r="F2" s="3" t="str">
        <x:v>晶圓製造至封裝測試</x:v>
      </x:c>
      <x:c r="G2" s="3" t="str">
        <x:v>美光 AATT2 開幕，新增投資額未核實</x:v>
      </x:c>
      <x:c r="H2" s="3" t="str">
        <x:v>公司描述先進封裝需求，未核實新增產量</x:v>
      </x:c>
      <x:c r="I2" s="3" t="str">
        <x:v>美商在台廠房開幕，新增金額未披露</x:v>
      </x:c>
      <x:c r="J2" s="3" t="str">
        <x:v>晶圓、HBM 與封裝供給，驗證到設備訂單</x:v>
      </x:c>
      <x:c r="K2" s="3" t="str">
        <x:v>台積電法說與美光 AATT2 開幕串起先進邏輯、HBM 與後段測試，南亞科財報則提供一般 DRAM 的另一個觀察面。AEIS 應逐層確認認證、實際產能與客戶拉貨，不能將不同記憶體市場合併成同一成長率。</x:v>
      </x:c>
      <x:c r="L2" s="3" t="str">
        <x:v>半導體設備精密電源，間接需求</x:v>
      </x:c>
      <x:c r="M2" s="3" t="str">
        <x:v>台積電法說與美光 AATT2 開幕串起先進邏輯、HBM 與後段測試，南亞科財報則提供一般 DRAM 的另一個觀察面。AEIS 應逐層確認認證、實際產能與客戶拉貨，不能將不同記憶體市場合併成同一成長率。</x:v>
      </x:c>
      <x:c r="N2" s="3" t="str">
        <x:v>近期認證與中期設備拉貨</x:v>
      </x:c>
      <x:c r="O2" s="3" t="str">
        <x:v>確認設備客戶認證及備料節奏</x:v>
      </x:c>
      <x:c r="P2" s="3" t="str">
        <x:v>實際產能、良率、利用率與設備訂單</x:v>
      </x:c>
      <x:c r="Q2" s="3" t="str">
        <x:v>各則限制詳見日報</x:v>
      </x:c>
      <x:c r="R2" s="3" t="str">
        <x:v>First-hand; Second-hand</x:v>
      </x:c>
      <x:c r="S2" s="3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3" ht="72" hidden="0" customHeight="1">
      <x:c r="A3" s="8" t="d">
        <x:v>2026-10-11T00:00:00.000Z</x:v>
      </x:c>
      <x:c r="B3" s="8"/>
      <x:c r="C3" s="3" t="str">
        <x:v>週主題 2</x:v>
      </x:c>
      <x:c r="D3" s="3" t="str">
        <x:v>台灣；美國</x:v>
      </x:c>
      <x:c r="E3" s="3" t="str">
        <x:v>AI 資料中心；伺服器；電源；液冷</x:v>
      </x:c>
      <x:c r="F3" s="3" t="str">
        <x:v>ODM 整機櫃至機房交付</x:v>
      </x:c>
      <x:c r="G3" s="3" t="str">
        <x:v>產品展示，未披露新增資本支出</x:v>
      </x:c>
      <x:c r="H3" s="3" t="str">
        <x:v>800 VDC 與液冷方案增加，出貨量未核實</x:v>
      </x:c>
      <x:c r="I3" s="3" t="str">
        <x:v>未披露外商投資金額</x:v>
      </x:c>
      <x:c r="J3" s="3" t="str">
        <x:v>整機櫃進入高壓供電與液冷，現場交付決定收入時點</x:v>
      </x:c>
      <x:c r="K3" s="3" t="str">
        <x:v>OCP 台廠展示把需求延伸到電源、備援、冷卻與整機整合，本週台電投資及電源專利調查也影響交付環境。對 AEIS，應比較產品認證、成本與供應責任，展示規格尚不足以證明量產市占。</x:v>
      </x:c>
      <x:c r="L3" s="3" t="str">
        <x:v>資料中心電源直接相關，未證實 AEIS 新訂單</x:v>
      </x:c>
      <x:c r="M3" s="3" t="str">
        <x:v>OCP 台廠展示把需求延伸到電源、備援、冷卻與整機整合，本週台電投資及電源專利調查也影響交付環境。對 AEIS，應比較產品認證、成本與供應責任，展示規格尚不足以證明量產市占。</x:v>
      </x:c>
      <x:c r="N3" s="3" t="str">
        <x:v>依客戶認證及量產時程</x:v>
      </x:c>
      <x:c r="O3" s="3" t="str">
        <x:v>比較系統整合、效率與服務條件</x:v>
      </x:c>
      <x:c r="P3" s="3" t="str">
        <x:v>認證、量產訂單與每櫃電源價值</x:v>
      </x:c>
      <x:c r="Q3" s="3" t="str">
        <x:v>各則限制詳見日報</x:v>
      </x:c>
      <x:c r="R3" s="3" t="str">
        <x:v>Second-hand; First-hand</x:v>
      </x:c>
      <x:c r="S3" s="3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4" ht="72" hidden="0" customHeight="1">
      <x:c r="A4" s="8" t="d">
        <x:v>2026-10-11T00:00:00.000Z</x:v>
      </x:c>
      <x:c r="B4" s="8"/>
      <x:c r="C4" s="3" t="str">
        <x:v>週主題 3</x:v>
      </x:c>
      <x:c r="D4" s="3" t="str">
        <x:v>台灣；美國
台灣</x:v>
      </x:c>
      <x:c r="E4" s="3" t="str">
        <x:v>終端 AI；PC；IC 設計；封裝
海外工業園區；電子供應鏈
總體經濟；AI 投資</x:v>
      </x:c>
      <x:c r="F4" s="3" t="str">
        <x:v>設計至品牌 PC 與企業用戶
零組件至在地工廠
需求與區域投資背景</x:v>
      </x:c>
      <x:c r="G4" s="3" t="str">
        <x:v>新品推出，未披露新廠投資
每座 20 億至 40 億美元估算，未承諾
中經院投資展望，屬預測</x:v>
      </x:c>
      <x:c r="H4" s="3" t="str">
        <x:v>公司預期本地 AI 需求，尚無售出量
在地供應鏈規劃，租用率未公布
2026 年 GDP 成長預測 12.16%</x:v>
      </x:c>
      <x:c r="I4" s="3" t="str">
        <x:v>未披露
私人籌資規劃，尚非實際投資流量
未提供本期 FDI 數據</x:v>
      </x:c>
      <x:c r="J4" s="3" t="str">
        <x:v>從終端 AI 到海外園區，投資要跟上已驗證需求</x:v>
      </x:c>
      <x:c r="K4" s="3" t="str">
        <x:v>RTX Spark 推出帶來終端需求觀察點，台灣赴美園區規劃與中經院上修預測則反映布局及總體展望。銷售、用地、融資與客戶訂單仍需逐項驗證，AEIS 可據此安排服務與庫存，尚無已揭露的新增收入。</x:v>
      </x:c>
      <x:c r="L4" s="3" t="str">
        <x:v>PC 電源與製程電源機會需分開
在地服務、庫存與製造成本
客戶資本支出與區域服務規劃</x:v>
      </x:c>
      <x:c r="M4" s="3" t="str">
        <x:v>RTX Spark 推出帶來終端需求觀察點，台灣赴美園區規劃與中經院上修預測則反映布局及總體展望。銷售、用地、融資與客戶訂單仍需逐項驗證，AEIS 可據此安排服務與庫存，尚無已揭露的新增收入。</x:v>
      </x:c>
      <x:c r="N4" s="3" t="str">
        <x:v>新品上市後數季
用地及融資確定後
2026 年全年預測</x:v>
      </x:c>
      <x:c r="O4" s="3" t="str">
        <x:v>等待售出與企業導入，再調整供應
以已簽需求檢查布局
用設備客戶訂單驗證總體展望</x:v>
      </x:c>
      <x:c r="P4" s="3" t="str">
        <x:v>出貨、使用率、能耗與退貨率
融資、土地、入駐名單與動工
GDP 實績、民間投資與客戶拉貨</x:v>
      </x:c>
      <x:c r="Q4" s="3" t="str">
        <x:v>各則限制詳見日報</x:v>
      </x:c>
      <x:c r="R4" s="3" t="str">
        <x:v>First-hand; Second-hand</x:v>
      </x:c>
      <x:c r="S4" s="3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5" ht="72" hidden="0" customHeight="1">
      <x:c r="A5" s="8" t="d">
        <x:v>2026-10-11T00:00:00.000Z</x:v>
      </x:c>
      <x:c r="B5" s="8"/>
      <x:c r="C5" s="3" t="str">
        <x:v>週主題 4</x:v>
      </x:c>
      <x:c r="D5" s="3" t="str">
        <x:v>馬來西亞；台灣</x:v>
      </x:c>
      <x:c r="E5" s="3" t="str">
        <x:v>半導體；後段封測；設備服務</x:v>
      </x:c>
      <x:c r="F5" s="3" t="str">
        <x:v>設計至封測及現場工程</x:v>
      </x:c>
      <x:c r="G5" s="3" t="str">
        <x:v>人才與園區布局，非已確認新廠投資</x:v>
      </x:c>
      <x:c r="H5" s="3" t="str">
        <x:v>逾 1,500 職缺，非實際聘用</x:v>
      </x:c>
      <x:c r="I5" s="3" t="str">
        <x:v>未提供新增 FDI 流量</x:v>
      </x:c>
      <x:c r="J5" s="3" t="str">
        <x:v>馬來西亞的後段升級，也取決於工程人才</x:v>
      </x:c>
      <x:c r="K5" s="3" t="str">
        <x:v>雪蘭莪半導體招募涵蓋設計、製程、設備與廠務，官方描述與檳城製造及封測聚落互補。對 AEIS，區域服務不能只看廠房數，還需驗證聘用、留任及客戶現場認證；職缺尚非新增產能。</x:v>
      </x:c>
      <x:c r="L5" s="3" t="str">
        <x:v>區域服務與工程人才，間接相關</x:v>
      </x:c>
      <x:c r="M5" s="3" t="str">
        <x:v>雪蘭莪半導體招募涵蓋設計、製程、設備與廠務，官方描述與檳城製造及封測聚落互補。對 AEIS，區域服務不能只看廠房數，還需驗證聘用、留任及客戶現場認證；職缺尚非新增產能。</x:v>
      </x:c>
      <x:c r="N5" s="3" t="str">
        <x:v>當期招募與後續認證</x:v>
      </x:c>
      <x:c r="O5" s="3" t="str">
        <x:v>檢查客戶密度、人才與維修週轉</x:v>
      </x:c>
      <x:c r="P5" s="3" t="str">
        <x:v>聘用、留任與客戶設備認證</x:v>
      </x:c>
      <x:c r="Q5" s="3" t="str">
        <x:v>各則限制詳見日報</x:v>
      </x:c>
      <x:c r="R5" s="3" t="str">
        <x:v>Second-hand</x:v>
      </x:c>
      <x:c r="S5" s="3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  <x:row r="6" ht="72" hidden="0" customHeight="1">
      <x:c r="A6" s="8" t="d">
        <x:v>2026-10-11T00:00:00.000Z</x:v>
      </x:c>
      <x:c r="B6" s="8"/>
      <x:c r="C6" s="3" t="str">
        <x:v>週主題 5</x:v>
      </x:c>
      <x:c r="D6" s="3" t="str">
        <x:v>越南
越南；新加坡</x:v>
      </x:c>
      <x:c r="E6" s="3" t="str">
        <x:v>AI 資料中心；電源；能源
製造業；外商投資；工業電源</x:v>
      </x:c>
      <x:c r="F6" s="3" t="str">
        <x:v>機房建設與營運電力
資金註冊至工廠落地</x:v>
      </x:c>
      <x:c r="G6" s="3" t="str">
        <x:v>21 億美元既有計畫，新增投資未核實
總註冊外資 503.6 億美元</x:v>
      </x:c>
      <x:c r="H6" s="3" t="str">
        <x:v>電價爭點可能影響進度，量化需求未知
工廠設備需求尚須分項驗證</x:v>
      </x:c>
      <x:c r="I6" s="3" t="str">
        <x:v>AIC 與 KBC 既有計畫，非新流入
FDI 實現額估 210.7 億美元，YoY 12.1%</x:v>
      </x:c>
      <x:c r="J6" s="3" t="str">
        <x:v>越南投資落地，要同時核對資金與用電條件</x:v>
      </x:c>
      <x:c r="K6" s="3" t="str">
        <x:v>胡志明市資料中心電價認定成為新增爭點；10 月 3 日區域統計則顯示前三季 FDI 實現額年增 12.1%。兩者分別提供個案風險與市場背景，對 AEIS 的機會仍須由具名工廠、電力合約及設備採購驗證，電價報導有第一手文件限制。</x:v>
      </x:c>
      <x:c r="L6" s="3" t="str">
        <x:v>資料中心電源，部署時點風險
在地工業電源與服務的背景指標</x:v>
      </x:c>
      <x:c r="M6" s="3" t="str">
        <x:v>胡志明市資料中心電價認定成為新增爭點；10 月 3 日區域統計則顯示前三季 FDI 實現額年增 12.1%。兩者分別提供個案風險與市場背景，對 AEIS 的機會仍須由具名工廠、電力合約及設備採購驗證，電價報導有第一手文件限制。</x:v>
      </x:c>
      <x:c r="N6" s="3" t="str">
        <x:v>待費率分類與電力合約
截至 2026 年 9 月的區域背景</x:v>
      </x:c>
      <x:c r="O6" s="3" t="str">
        <x:v>確認電力條件再排工程及交貨
對到具名廠房與設備採購</x:v>
      </x:c>
      <x:c r="P6" s="3" t="str">
        <x:v>正式費率、融資與上線
製造業分項、電網接入與驗收</x:v>
      </x:c>
      <x:c r="Q6" s="3" t="str">
        <x:v>各則限制詳見日報</x:v>
      </x:c>
      <x:c r="R6" s="3" t="str">
        <x:v>Second-hand; First-hand</x:v>
      </x:c>
      <x:c r="S6" s="3" t="e">
        <x:f>HYPERLINK("https://aiwlulu.github.io/daily-brief-site/?view=week&amp;date=2026-10-17","完整來源與日報")</x:f>
        <x:v>HYPERLINK is not implemented. linkLocation=https://aiwlulu.github.io/daily-brief-site/?view=week&amp;date=2026-10-17, friendlyName=完整來源與日報</x:v>
      </x:c>
    </x:row>
  </x:sheetData>
  <x:pageMargins left="0.7" right="0.7" top="0.75" bottom="0.75" header="0.3" footer="0.3"/>
  <x:tableParts count="1">
    <x:tablePart xmlns:r="http://schemas.openxmlformats.org/officeDocument/2006/relationships" r:id="R8f8d00ceac6a468a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對 AEIS 影響評估（分析）</x:v>
      </x:c>
      <x:c r="V1" s="7" t="str">
        <x:v>來源連結</x:v>
      </x:c>
    </x:row>
    <x:row r="2" ht="72" hidden="0" customHeight="1">
      <x:c r="A2" s="8" t="d">
        <x:v>2026-10-17T00:00:00.000Z</x:v>
      </x:c>
      <x:c r="B2" s="8" t="d">
        <x:v>2026-10-15T00:00:00.000Z</x:v>
      </x:c>
      <x:c r="C2" s="3" t="str">
        <x:v>2026-10-17:12</x:v>
      </x:c>
      <x:c r="D2" s="3" t="str">
        <x:v>台灣；美國</x:v>
      </x:c>
      <x:c r="E2" s="3" t="str">
        <x:v>AI 半導體；HBM；先進封裝；測試</x:v>
      </x:c>
      <x:c r="F2" s="3" t="str">
        <x:v>新台幣營收（約）</x:v>
      </x:c>
      <x:c r="G2" s="3" t="str">
        <x:v>公司實績</x:v>
      </x:c>
      <x:c r="H2" s="3" t="str">
        <x:v>2026 Q3</x:v>
      </x:c>
      <x:c r="I2" s="9" t="n">
        <x:v>1494</x:v>
      </x:c>
      <x:c r="J2" s="3" t="str">
        <x:v>NTD billion</x:v>
      </x:c>
      <x:c r="K2" s="3" t="str">
        <x:v>2025 Q3</x:v>
      </x:c>
      <x:c r="L2" s="9"/>
      <x:c r="M2" s="3" t="str">
        <x:v>YoY</x:v>
      </x:c>
      <x:c r="N2" s="10" t="n">
        <x:v>0.509</x:v>
      </x:c>
      <x:c r="O2" s="10"/>
      <x:c r="P2" s="9"/>
      <x:c r="Q2" s="9"/>
      <x:c r="R2" s="10"/>
      <x:c r="S2" s="3" t="str">
        <x:v>本期值及公布增幅已核對；本表未收錄可比基期</x:v>
      </x:c>
      <x:c r="T2" s="3" t="str">
        <x:v>TSMC</x:v>
      </x:c>
      <x:c r="U2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2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3" ht="72" hidden="0" customHeight="1">
      <x:c r="A3" s="8" t="d">
        <x:v>2026-10-17T00:00:00.000Z</x:v>
      </x:c>
      <x:c r="B3" s="8" t="d">
        <x:v>2026-10-15T00:00:00.000Z</x:v>
      </x:c>
      <x:c r="C3" s="3" t="str">
        <x:v>2026-10-17:12</x:v>
      </x:c>
      <x:c r="D3" s="3" t="str">
        <x:v>台灣；美國</x:v>
      </x:c>
      <x:c r="E3" s="3" t="str">
        <x:v>AI 半導體；HBM；先進封裝；測試</x:v>
      </x:c>
      <x:c r="F3" s="3" t="str">
        <x:v>稅後淨利</x:v>
      </x:c>
      <x:c r="G3" s="3" t="str">
        <x:v>公司實績</x:v>
      </x:c>
      <x:c r="H3" s="3" t="str">
        <x:v>2026 Q3</x:v>
      </x:c>
      <x:c r="I3" s="9" t="n">
        <x:v>763.06</x:v>
      </x:c>
      <x:c r="J3" s="3" t="str">
        <x:v>NTD billion</x:v>
      </x:c>
      <x:c r="K3" s="3" t="str">
        <x:v>2025 Q3</x:v>
      </x:c>
      <x:c r="L3" s="9"/>
      <x:c r="M3" s="3" t="str">
        <x:v>YoY</x:v>
      </x:c>
      <x:c r="N3" s="10" t="n">
        <x:v>0.687</x:v>
      </x:c>
      <x:c r="O3" s="10"/>
      <x:c r="P3" s="9"/>
      <x:c r="Q3" s="9"/>
      <x:c r="R3" s="10"/>
      <x:c r="S3" s="3" t="str">
        <x:v>本期值及公布增幅已核對；本表未收錄可比基期</x:v>
      </x:c>
      <x:c r="T3" s="3" t="str">
        <x:v>TSMC</x:v>
      </x:c>
      <x:c r="U3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3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4" ht="72" hidden="0" customHeight="1">
      <x:c r="A4" s="8" t="d">
        <x:v>2026-10-17T00:00:00.000Z</x:v>
      </x:c>
      <x:c r="B4" s="8" t="d">
        <x:v>2026-10-15T00:00:00.000Z</x:v>
      </x:c>
      <x:c r="C4" s="3" t="str">
        <x:v>2026-10-17:12</x:v>
      </x:c>
      <x:c r="D4" s="3" t="str">
        <x:v>台灣；美國</x:v>
      </x:c>
      <x:c r="E4" s="3" t="str">
        <x:v>AI 半導體；HBM；先進封裝；測試</x:v>
      </x:c>
      <x:c r="F4" s="3" t="str">
        <x:v>美元營收</x:v>
      </x:c>
      <x:c r="G4" s="3" t="str">
        <x:v>公司實績</x:v>
      </x:c>
      <x:c r="H4" s="3" t="str">
        <x:v>2026 Q3</x:v>
      </x:c>
      <x:c r="I4" s="9" t="n">
        <x:v>46.72</x:v>
      </x:c>
      <x:c r="J4" s="3" t="str">
        <x:v>USD billion</x:v>
      </x:c>
      <x:c r="K4" s="3" t="str"/>
      <x:c r="L4" s="9"/>
      <x:c r="M4" s="3" t="str">
        <x:v>無</x:v>
      </x:c>
      <x:c r="N4" s="10"/>
      <x:c r="O4" s="10"/>
      <x:c r="P4" s="9"/>
      <x:c r="Q4" s="9"/>
      <x:c r="R4" s="10"/>
      <x:c r="S4" s="3" t="str">
        <x:v>本期值及公布增幅已核對；本表未收錄可比基期</x:v>
      </x:c>
      <x:c r="T4" s="3" t="str">
        <x:v>TSMC</x:v>
      </x:c>
      <x:c r="U4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4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5" ht="72" hidden="0" customHeight="1">
      <x:c r="A5" s="8" t="d">
        <x:v>2026-10-17T00:00:00.000Z</x:v>
      </x:c>
      <x:c r="B5" s="8" t="d">
        <x:v>2026-10-15T00:00:00.000Z</x:v>
      </x:c>
      <x:c r="C5" s="3" t="str">
        <x:v>2026-10-17:12</x:v>
      </x:c>
      <x:c r="D5" s="3" t="str">
        <x:v>台灣；美國</x:v>
      </x:c>
      <x:c r="E5" s="3" t="str">
        <x:v>AI 半導體；HBM；先進封裝；測試</x:v>
      </x:c>
      <x:c r="F5" s="3" t="str">
        <x:v>毛利率</x:v>
      </x:c>
      <x:c r="G5" s="3" t="str">
        <x:v>公司實績</x:v>
      </x:c>
      <x:c r="H5" s="3" t="str">
        <x:v>2026 Q3</x:v>
      </x:c>
      <x:c r="I5" s="11" t="n">
        <x:v>0.664</x:v>
      </x:c>
      <x:c r="J5" s="3" t="str">
        <x:v>%</x:v>
      </x:c>
      <x:c r="K5" s="3" t="str"/>
      <x:c r="L5" s="11"/>
      <x:c r="M5" s="3" t="str">
        <x:v>無</x:v>
      </x:c>
      <x:c r="N5" s="10"/>
      <x:c r="O5" s="10"/>
      <x:c r="P5" s="9"/>
      <x:c r="Q5" s="9"/>
      <x:c r="R5" s="10"/>
      <x:c r="S5" s="3" t="str">
        <x:v>本期值及公布增幅已核對；本表未收錄可比基期</x:v>
      </x:c>
      <x:c r="T5" s="3" t="str">
        <x:v>TSMC</x:v>
      </x:c>
      <x:c r="U5" s="3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5" s="3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6" ht="100.80000305175781" hidden="0" customHeight="1">
      <x:c r="A6" s="8" t="d">
        <x:v>2026-10-17T00:00:00.000Z</x:v>
      </x:c>
      <x:c r="B6" s="8" t="d">
        <x:v>2026-10-15T00:00:00.000Z</x:v>
      </x:c>
      <x:c r="C6" s="3" t="str">
        <x:v>2026-10-17:13</x:v>
      </x:c>
      <x:c r="D6" s="3" t="str">
        <x:v>台灣；美國</x:v>
      </x:c>
      <x:c r="E6" s="3" t="str">
        <x:v>AI 資料中心；伺服器；電源；液冷</x:v>
      </x:c>
      <x:c r="F6" s="3" t="str">
        <x:v>電源櫃額定能力</x:v>
      </x:c>
      <x:c r="G6" s="3" t="str">
        <x:v>產品規格</x:v>
      </x:c>
      <x:c r="H6" s="3" t="str">
        <x:v>OCP 2026 展示</x:v>
      </x:c>
      <x:c r="I6" s="9" t="n">
        <x:v>660</x:v>
      </x:c>
      <x:c r="J6" s="3" t="str">
        <x:v>kW</x:v>
      </x:c>
      <x:c r="K6" s="3" t="str"/>
      <x:c r="L6" s="9"/>
      <x:c r="M6" s="3" t="str">
        <x:v>無</x:v>
      </x:c>
      <x:c r="N6" s="10"/>
      <x:c r="O6" s="10"/>
      <x:c r="P6" s="9"/>
      <x:c r="Q6" s="9"/>
      <x:c r="R6" s="10"/>
      <x:c r="S6" s="3" t="str">
        <x:v>未揭露可比基期；不倒推</x:v>
      </x:c>
      <x:c r="T6" s="3" t="str">
        <x:v>Delta</x:v>
      </x:c>
      <x:c r="U6" s="3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6" s="3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7" ht="100.80000305175781" hidden="0" customHeight="1">
      <x:c r="A7" s="8" t="d">
        <x:v>2026-10-17T00:00:00.000Z</x:v>
      </x:c>
      <x:c r="B7" s="8" t="d">
        <x:v>2026-10-15T00:00:00.000Z</x:v>
      </x:c>
      <x:c r="C7" s="3" t="str">
        <x:v>2026-10-17:13</x:v>
      </x:c>
      <x:c r="D7" s="3" t="str">
        <x:v>台灣；美國</x:v>
      </x:c>
      <x:c r="E7" s="3" t="str">
        <x:v>AI 資料中心；伺服器；電源；液冷</x:v>
      </x:c>
      <x:c r="F7" s="3" t="str">
        <x:v>備援額定能力</x:v>
      </x:c>
      <x:c r="G7" s="3" t="str">
        <x:v>產品規格</x:v>
      </x:c>
      <x:c r="H7" s="3" t="str">
        <x:v>OCP 2026 展示</x:v>
      </x:c>
      <x:c r="I7" s="9" t="n">
        <x:v>480</x:v>
      </x:c>
      <x:c r="J7" s="3" t="str">
        <x:v>kW</x:v>
      </x:c>
      <x:c r="K7" s="3" t="str"/>
      <x:c r="L7" s="9"/>
      <x:c r="M7" s="3" t="str">
        <x:v>無</x:v>
      </x:c>
      <x:c r="N7" s="10"/>
      <x:c r="O7" s="10"/>
      <x:c r="P7" s="9"/>
      <x:c r="Q7" s="9"/>
      <x:c r="R7" s="10"/>
      <x:c r="S7" s="3" t="str">
        <x:v>未揭露可比基期；不倒推</x:v>
      </x:c>
      <x:c r="T7" s="3" t="str">
        <x:v>Delta</x:v>
      </x:c>
      <x:c r="U7" s="3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7" s="3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8" ht="72" hidden="0" customHeight="1">
      <x:c r="A8" s="8" t="d">
        <x:v>2026-10-17T00:00:00.000Z</x:v>
      </x:c>
      <x:c r="B8" s="8" t="d">
        <x:v>2026-10-16T00:00:00.000Z</x:v>
      </x:c>
      <x:c r="C8" s="3" t="str">
        <x:v>2026-10-17:15</x:v>
      </x:c>
      <x:c r="D8" s="3" t="str">
        <x:v>台灣；美國</x:v>
      </x:c>
      <x:c r="E8" s="3" t="str">
        <x:v>終端 AI；PC；IC 設計；封裝</x:v>
      </x:c>
      <x:c r="F8" s="3" t="str">
        <x:v>最高統一記憶體規格</x:v>
      </x:c>
      <x:c r="G8" s="3" t="str">
        <x:v>產品規格</x:v>
      </x:c>
      <x:c r="H8" s="3" t="str">
        <x:v>2026-10-16 發布</x:v>
      </x:c>
      <x:c r="I8" s="9" t="n">
        <x:v>128</x:v>
      </x:c>
      <x:c r="J8" s="3" t="str">
        <x:v>GB</x:v>
      </x:c>
      <x:c r="K8" s="3" t="str"/>
      <x:c r="L8" s="9"/>
      <x:c r="M8" s="3" t="str">
        <x:v>無</x:v>
      </x:c>
      <x:c r="N8" s="10"/>
      <x:c r="O8" s="10"/>
      <x:c r="P8" s="9"/>
      <x:c r="Q8" s="9"/>
      <x:c r="R8" s="10"/>
      <x:c r="S8" s="3" t="str">
        <x:v>未揭露可比基期；不倒推</x:v>
      </x:c>
      <x:c r="T8" s="3" t="str">
        <x:v>NVIDIA</x:v>
      </x:c>
      <x:c r="U8" s="3" t="str">
        <x:v>分析：分別追蹤前段設備電源、封裝設備及 PC 系統電源的可服務範圍。新品上市尚不足以調高供應量，應等待通路售出、企業導入、退貨率與平台毛利。</x:v>
      </x:c>
      <x:c r="V8" s="3" t="e">
        <x:f>HYPERLINK("https://nvidianews.nvidia.com/news/nvidia-rtx-spark-pcs-available-today-a-new-beginning-for-windows-pcs","https://nvidianews.nvidia.com/news/nvidia-rtx-spark-pcs-available-today-a-new-beginning-for-windows-pcs")</x:f>
        <x:v>HYPERLINK is not implemented. linkLocation=https://nvidianews.nvidia.com/news/nvidia-rtx-spark-pcs-available-today-a-new-beginning-for-windows-pcs, friendlyName=https://nvidianews.nvidia.com/news/nvidia-rtx-spark-pcs-available-today-a-new-beginning-for-windows-pcs</x:v>
      </x:c>
    </x:row>
    <x:row r="9" ht="43.20000076293945" hidden="0" customHeight="1">
      <x:c r="A9" s="8" t="d">
        <x:v>2026-10-17T00:00:00.000Z</x:v>
      </x:c>
      <x:c r="B9" s="8" t="d">
        <x:v>2026-10-16T00:00:00.000Z</x:v>
      </x:c>
      <x:c r="C9" s="3" t="str">
        <x:v>2026-10-17:4</x:v>
      </x:c>
      <x:c r="D9" s="3" t="str">
        <x:v>台灣；美國</x:v>
      </x:c>
      <x:c r="E9" s="3" t="str">
        <x:v>海外工業園區；電子供應鏈</x:v>
      </x:c>
      <x:c r="F9" s="3" t="str">
        <x:v>每座園區估算下限</x:v>
      </x:c>
      <x:c r="G9" s="3" t="str">
        <x:v>規劃估算</x:v>
      </x:c>
      <x:c r="H9" s="3" t="str">
        <x:v>規劃期未定</x:v>
      </x:c>
      <x:c r="I9" s="9" t="n">
        <x:v>2</x:v>
      </x:c>
      <x:c r="J9" s="3" t="str">
        <x:v>USD billion</x:v>
      </x:c>
      <x:c r="K9" s="3" t="str"/>
      <x:c r="L9" s="9"/>
      <x:c r="M9" s="3" t="str">
        <x:v>無</x:v>
      </x:c>
      <x:c r="N9" s="10"/>
      <x:c r="O9" s="10"/>
      <x:c r="P9" s="9"/>
      <x:c r="Q9" s="9"/>
      <x:c r="R9" s="10"/>
      <x:c r="S9" s="3" t="str">
        <x:v>未揭露可比基期；不倒推</x:v>
      </x:c>
      <x:c r="T9" s="3" t="str">
        <x:v>經濟部，由 CNA 報導</x:v>
      </x:c>
      <x:c r="U9" s="3" t="str">
        <x:v>大型客戶在美國蓋廠，只完成供應鏈在地化的一部分。對中小供應商，關鍵是園區能否提供穩定訂單、共用設施與可負擔的資金，而不只是一塊海外土地。</x:v>
      </x:c>
      <x:c r="V9" s="3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0" ht="43.20000076293945" hidden="0" customHeight="1">
      <x:c r="A10" s="8" t="d">
        <x:v>2026-10-17T00:00:00.000Z</x:v>
      </x:c>
      <x:c r="B10" s="8" t="d">
        <x:v>2026-10-16T00:00:00.000Z</x:v>
      </x:c>
      <x:c r="C10" s="3" t="str">
        <x:v>2026-10-17:4</x:v>
      </x:c>
      <x:c r="D10" s="3" t="str">
        <x:v>台灣；美國</x:v>
      </x:c>
      <x:c r="E10" s="3" t="str">
        <x:v>海外工業園區；電子供應鏈</x:v>
      </x:c>
      <x:c r="F10" s="3" t="str">
        <x:v>每座園區估算上限</x:v>
      </x:c>
      <x:c r="G10" s="3" t="str">
        <x:v>規劃估算</x:v>
      </x:c>
      <x:c r="H10" s="3" t="str">
        <x:v>規劃期未定</x:v>
      </x:c>
      <x:c r="I10" s="9" t="n">
        <x:v>4</x:v>
      </x:c>
      <x:c r="J10" s="3" t="str">
        <x:v>USD billion</x:v>
      </x:c>
      <x:c r="K10" s="3" t="str"/>
      <x:c r="L10" s="9"/>
      <x:c r="M10" s="3" t="str">
        <x:v>無</x:v>
      </x:c>
      <x:c r="N10" s="10"/>
      <x:c r="O10" s="10"/>
      <x:c r="P10" s="9"/>
      <x:c r="Q10" s="9"/>
      <x:c r="R10" s="10"/>
      <x:c r="S10" s="3" t="str">
        <x:v>未揭露可比基期；不倒推</x:v>
      </x:c>
      <x:c r="T10" s="3" t="str">
        <x:v>經濟部，由 CNA 報導</x:v>
      </x:c>
      <x:c r="U10" s="3" t="str">
        <x:v>大型客戶在美國蓋廠，只完成供應鏈在地化的一部分。對中小供應商，關鍵是園區能否提供穩定訂單、共用設施與可負擔的資金，而不只是一塊海外土地。</x:v>
      </x:c>
      <x:c r="V10" s="3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1" ht="72" hidden="0" customHeight="1">
      <x:c r="A11" s="8" t="d">
        <x:v>2026-10-17T00:00:00.000Z</x:v>
      </x:c>
      <x:c r="B11" s="8" t="d">
        <x:v>2026-10-16T00:00:00.000Z</x:v>
      </x:c>
      <x:c r="C11" s="3" t="str">
        <x:v>2026-10-17:11</x:v>
      </x:c>
      <x:c r="D11" s="3" t="str">
        <x:v>台灣</x:v>
      </x:c>
      <x:c r="E11" s="3" t="str">
        <x:v>總體經濟；AI 投資</x:v>
      </x:c>
      <x:c r="F11" s="3" t="str">
        <x:v>2026 年 GDP 成長預測</x:v>
      </x:c>
      <x:c r="G11" s="3" t="str">
        <x:v>預測</x:v>
      </x:c>
      <x:c r="H11" s="3" t="str">
        <x:v>2026 全年，2026-10 預測版</x:v>
      </x:c>
      <x:c r="I11" s="11" t="n">
        <x:v>0.1216</x:v>
      </x:c>
      <x:c r="J11" s="3" t="str">
        <x:v>%</x:v>
      </x:c>
      <x:c r="K11" s="3" t="str">
        <x:v>2026 全年，2026-07 預測版</x:v>
      </x:c>
      <x:c r="L11" s="11" t="n">
        <x:v>0.1035</x:v>
      </x:c>
      <x:c r="M11" s="3" t="str">
        <x:v>預測修訂</x:v>
      </x:c>
      <x:c r="N11" s="10"/>
      <x:c r="O11" s="10"/>
      <x:c r="P11" s="9"/>
      <x:c r="Q11" s="9" t="n">
        <x:f>(I11-L11)*100</x:f>
        <x:v>1.8100000000000005</x:v>
      </x:c>
      <x:c r="R11" s="10"/>
      <x:c r="S11" s="3" t="str">
        <x:v>已揭露</x:v>
      </x:c>
      <x:c r="T11" s="3" t="str">
        <x:v>CIER</x:v>
      </x:c>
      <x:c r="U11" s="3" t="str">
        <x:v>這份預測的重點是 AI 硬體需求如何傳到投資與消費。分析時仍要分清：少數出口產業的強勁成長、整體 GDP，以及每個人的收入感受，三者不會等比例變動。</x:v>
      </x:c>
      <x:c r="V11" s="3" t="e">
        <x:f>HYPERLINK("https://www.cier.edu.tw/eco/2026%E5%B9%B4%E7%AC%AC4%E5%AD%A3%E8%87%BA%E7%81%A3%E7%B6%93%E6%BF%9F%E9%A0%90%E6%B8%AC/","https://www.cier.edu.tw/eco/2026%E5%B9%B4%E7%AC%AC4%E5%AD%A3%E8%87%BA%E7%81%A3%E7%B6%93%E6%BF%9F%E9%A0%90%E6%B8%AC/")</x:f>
        <x:v>HYPERLINK is not implemented. linkLocation=https://www.cier.edu.tw/eco/2026%E5%B9%B4%E7%AC%AC4%E5%AD%A3%E8%87%BA%E7%81%A3%E7%B6%93%E6%BF%9F%E9%A0%90%E6%B8%AC/, friendlyName=https://www.cier.edu.tw/eco/2026%E5%B9%B4%E7%AC%AC4%E5%AD%A3%E8%87%BA%E7%81%A3%E7%B6%93%E6%BF%9F%E9%A0%90%E6%B8%AC/</x:v>
      </x:c>
    </x:row>
    <x:row r="12" ht="72" hidden="0" customHeight="1">
      <x:c r="A12" s="8" t="d">
        <x:v>2026-10-17T00:00:00.000Z</x:v>
      </x:c>
      <x:c r="B12" s="8" t="d">
        <x:v>2026-10-15T00:00:00.000Z</x:v>
      </x:c>
      <x:c r="C12" s="3" t="str">
        <x:v>2026-10-17:18</x:v>
      </x:c>
      <x:c r="D12" s="3" t="str">
        <x:v>越南</x:v>
      </x:c>
      <x:c r="E12" s="3" t="str">
        <x:v>AI 資料中心；電源；能源</x:v>
      </x:c>
      <x:c r="F12" s="3" t="str">
        <x:v>既有資料中心投資計畫</x:v>
      </x:c>
      <x:c r="G12" s="3" t="str">
        <x:v>既有規劃</x:v>
      </x:c>
      <x:c r="H12" s="3" t="str">
        <x:v>2026-03 公布，2026-10 電價追蹤</x:v>
      </x:c>
      <x:c r="I12" s="9" t="n">
        <x:v>2.1</x:v>
      </x:c>
      <x:c r="J12" s="3" t="str">
        <x:v>USD billion</x:v>
      </x:c>
      <x:c r="K12" s="3" t="str"/>
      <x:c r="L12" s="9"/>
      <x:c r="M12" s="3" t="str">
        <x:v>無</x:v>
      </x:c>
      <x:c r="N12" s="10"/>
      <x:c r="O12" s="10"/>
      <x:c r="P12" s="9"/>
      <x:c r="Q12" s="9"/>
      <x:c r="R12" s="10"/>
      <x:c r="S12" s="3" t="str">
        <x:v>未揭露可比基期；不倒推</x:v>
      </x:c>
      <x:c r="T12" s="3" t="str">
        <x:v>AIC / KBC，由 TNGlobal 報導</x:v>
      </x:c>
      <x:c r="U12" s="3" t="str">
        <x:v>分析：先確認客戶取得的電力條件，再安排機櫃電源工程與交貨。節能、功率密度及可靠度仍有價值，但現有資料不足以估算 AEIS 收入或投資回收。</x:v>
      </x:c>
      <x:c r="V12" s="3" t="e">
        <x:f>HYPERLINK("https://technode.global/2026/10/16/hcmc-seeks-clarification-on-power-price-for-2-1b-ai-data-center/","https://technode.global/2026/10/16/hcmc-seeks-clarification-on-power-price-for-2-1b-ai-data-center/")</x:f>
        <x:v>HYPERLINK is not implemented. linkLocation=https://technode.global/2026/10/16/hcmc-seeks-clarification-on-power-price-for-2-1b-ai-data-center/, friendlyName=https://technode.global/2026/10/16/hcmc-seeks-clarification-on-power-price-for-2-1b-ai-data-center/</x:v>
      </x:c>
    </x:row>
    <x:row r="13" ht="72" hidden="0" customHeight="1">
      <x:c r="A13" s="8" t="d">
        <x:v>2026-10-17T00:00:00.000Z</x:v>
      </x:c>
      <x:c r="B13" s="8" t="d">
        <x:v>2026-10-16T00:00:00.000Z</x:v>
      </x:c>
      <x:c r="C13" s="3" t="str">
        <x:v>2026-10-17:19</x:v>
      </x:c>
      <x:c r="D13" s="3" t="str">
        <x:v>馬來西亞；台灣</x:v>
      </x:c>
      <x:c r="E13" s="3" t="str">
        <x:v>半導體；後段封測；設備服務</x:v>
      </x:c>
      <x:c r="F13" s="3" t="str">
        <x:v>活動職缺下限</x:v>
      </x:c>
      <x:c r="G13" s="3" t="str">
        <x:v>超過此數，非實際聘用</x:v>
      </x:c>
      <x:c r="H13" s="3" t="str">
        <x:v>2026-10-14 至 2026-10-17</x:v>
      </x:c>
      <x:c r="I13" s="9" t="n">
        <x:v>1500</x:v>
      </x:c>
      <x:c r="J13" s="3" t="str">
        <x:v>個職缺</x:v>
      </x:c>
      <x:c r="K13" s="3" t="str"/>
      <x:c r="L13" s="9"/>
      <x:c r="M13" s="3" t="str">
        <x:v>無</x:v>
      </x:c>
      <x:c r="N13" s="10"/>
      <x:c r="O13" s="10"/>
      <x:c r="P13" s="9"/>
      <x:c r="Q13" s="9"/>
      <x:c r="R13" s="10"/>
      <x:c r="S13" s="3" t="str">
        <x:v>未揭露可比基期；不倒推</x:v>
      </x:c>
      <x:c r="T13" s="3" t="str">
        <x:v>主辦活動，由 CNA 報導</x:v>
      </x:c>
      <x:c r="U13" s="3" t="str">
        <x:v>分析：區域服務布局應同時評估客戶密度、現場工程人才與維修週轉時間。台馬培訓合作值得追蹤，但本期沒有確認 AEIS 合作、客戶採購或新的工廠投資。</x:v>
      </x:c>
      <x:c r="V13" s="3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4" ht="72" hidden="0" customHeight="1">
      <x:c r="A14" s="8" t="d">
        <x:v>2026-10-17T00:00:00.000Z</x:v>
      </x:c>
      <x:c r="B14" s="8" t="d">
        <x:v>2026-10-16T00:00:00.000Z</x:v>
      </x:c>
      <x:c r="C14" s="3" t="str">
        <x:v>2026-10-17:19</x:v>
      </x:c>
      <x:c r="D14" s="3" t="str">
        <x:v>馬來西亞；台灣</x:v>
      </x:c>
      <x:c r="E14" s="3" t="str">
        <x:v>半導體；後段封測；設備服務</x:v>
      </x:c>
      <x:c r="F14" s="3" t="str">
        <x:v>園區公司數</x:v>
      </x:c>
      <x:c r="G14" s="3" t="str">
        <x:v>官方陳述</x:v>
      </x:c>
      <x:c r="H14" s="3" t="str">
        <x:v>2026-10-16 官員說明</x:v>
      </x:c>
      <x:c r="I14" s="9" t="n">
        <x:v>20</x:v>
      </x:c>
      <x:c r="J14" s="3" t="str">
        <x:v>家</x:v>
      </x:c>
      <x:c r="K14" s="3" t="str"/>
      <x:c r="L14" s="9"/>
      <x:c r="M14" s="3" t="str">
        <x:v>無</x:v>
      </x:c>
      <x:c r="N14" s="10"/>
      <x:c r="O14" s="10"/>
      <x:c r="P14" s="9"/>
      <x:c r="Q14" s="9"/>
      <x:c r="R14" s="10"/>
      <x:c r="S14" s="3" t="str">
        <x:v>未揭露可比基期；不倒推</x:v>
      </x:c>
      <x:c r="T14" s="3" t="str">
        <x:v>雪蘭莪官員，由 CNA 報導</x:v>
      </x:c>
      <x:c r="U14" s="3" t="str">
        <x:v>分析：區域服務布局應同時評估客戶密度、現場工程人才與維修週轉時間。台馬培訓合作值得追蹤，但本期沒有確認 AEIS 合作、客戶採購或新的工廠投資。</x:v>
      </x:c>
      <x:c r="V14" s="3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5" ht="72" hidden="0" customHeight="1">
      <x:c r="A15" s="8" t="d">
        <x:v>2026-10-17T00:00:00.000Z</x:v>
      </x:c>
      <x:c r="B15" s="8" t="d">
        <x:v>2026-10-16T00:00:00.000Z</x:v>
      </x:c>
      <x:c r="C15" s="3" t="str">
        <x:v>2026-10-17:19</x:v>
      </x:c>
      <x:c r="D15" s="3" t="str">
        <x:v>馬來西亞；台灣</x:v>
      </x:c>
      <x:c r="E15" s="3" t="str">
        <x:v>半導體；後段封測；設備服務</x:v>
      </x:c>
      <x:c r="F15" s="3" t="str">
        <x:v>園區工程師數</x:v>
      </x:c>
      <x:c r="G15" s="3" t="str">
        <x:v>官方陳述</x:v>
      </x:c>
      <x:c r="H15" s="3" t="str">
        <x:v>2026-10-16 官員說明</x:v>
      </x:c>
      <x:c r="I15" s="9" t="n">
        <x:v>409</x:v>
      </x:c>
      <x:c r="J15" s="3" t="str">
        <x:v>人</x:v>
      </x:c>
      <x:c r="K15" s="3" t="str"/>
      <x:c r="L15" s="9"/>
      <x:c r="M15" s="3" t="str">
        <x:v>無</x:v>
      </x:c>
      <x:c r="N15" s="10"/>
      <x:c r="O15" s="10"/>
      <x:c r="P15" s="9"/>
      <x:c r="Q15" s="9"/>
      <x:c r="R15" s="10"/>
      <x:c r="S15" s="3" t="str">
        <x:v>未揭露可比基期；不倒推</x:v>
      </x:c>
      <x:c r="T15" s="3" t="str">
        <x:v>雪蘭莪官員，由 CNA 報導</x:v>
      </x:c>
      <x:c r="U15" s="3" t="str">
        <x:v>分析：區域服務布局應同時評估客戶密度、現場工程人才與維修週轉時間。台馬培訓合作值得追蹤，但本期沒有確認 AEIS 合作、客戶採購或新的工廠投資。</x:v>
      </x:c>
      <x:c r="V15" s="3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6" ht="72" hidden="0" customHeight="1">
      <x:c r="A16" s="8" t="d">
        <x:v>2026-10-17T00:00:00.000Z</x:v>
      </x:c>
      <x:c r="B16" s="8" t="d">
        <x:v>2026-10-03T00:00:00.000Z</x:v>
      </x:c>
      <x:c r="C16" s="3" t="str">
        <x:v>2026-10-17:20</x:v>
      </x:c>
      <x:c r="D16" s="3" t="str">
        <x:v>越南；新加坡</x:v>
      </x:c>
      <x:c r="E16" s="3" t="str">
        <x:v>製造業；外商投資；工業電源</x:v>
      </x:c>
      <x:c r="F16" s="3" t="str">
        <x:v>FDI 實現額估計</x:v>
      </x:c>
      <x:c r="G16" s="3" t="str">
        <x:v>官方估計</x:v>
      </x:c>
      <x:c r="H16" s="3" t="str">
        <x:v>2026-01 至 2026-09</x:v>
      </x:c>
      <x:c r="I16" s="9" t="n">
        <x:v>21.07</x:v>
      </x:c>
      <x:c r="J16" s="3" t="str">
        <x:v>USD billion</x:v>
      </x:c>
      <x:c r="K16" s="3" t="str">
        <x:v>2025-01 至 2025-09</x:v>
      </x:c>
      <x:c r="L16" s="9"/>
      <x:c r="M16" s="3" t="str">
        <x:v>YoY</x:v>
      </x:c>
      <x:c r="N16" s="10" t="n">
        <x:v>0.121</x:v>
      </x:c>
      <x:c r="O16" s="10"/>
      <x:c r="P16" s="9"/>
      <x:c r="Q16" s="9"/>
      <x:c r="R16" s="10"/>
      <x:c r="S16" s="3" t="str">
        <x:v>未揭露可比基期；不倒推</x:v>
      </x:c>
      <x:c r="T16" s="3" t="str">
        <x:v>越南國家統計局，由政府新聞網公布</x:v>
      </x:c>
      <x:c r="U16" s="3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6" s="3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  <x:row r="17" ht="72" hidden="0" customHeight="1">
      <x:c r="A17" s="8" t="d">
        <x:v>2026-10-17T00:00:00.000Z</x:v>
      </x:c>
      <x:c r="B17" s="8" t="d">
        <x:v>2026-10-03T00:00:00.000Z</x:v>
      </x:c>
      <x:c r="C17" s="3" t="str">
        <x:v>2026-10-17:20</x:v>
      </x:c>
      <x:c r="D17" s="3" t="str">
        <x:v>越南；新加坡</x:v>
      </x:c>
      <x:c r="E17" s="3" t="str">
        <x:v>製造業；外商投資；工業電源</x:v>
      </x:c>
      <x:c r="F17" s="3" t="str">
        <x:v>總註冊外資</x:v>
      </x:c>
      <x:c r="G17" s="3" t="str">
        <x:v>官方統計</x:v>
      </x:c>
      <x:c r="H17" s="3" t="str">
        <x:v>2026-01 至 2026-09</x:v>
      </x:c>
      <x:c r="I17" s="9" t="n">
        <x:v>50.36</x:v>
      </x:c>
      <x:c r="J17" s="3" t="str">
        <x:v>USD billion</x:v>
      </x:c>
      <x:c r="K17" s="3" t="str">
        <x:v>2025-01 至 2025-09</x:v>
      </x:c>
      <x:c r="L17" s="9"/>
      <x:c r="M17" s="3" t="str">
        <x:v>YoY</x:v>
      </x:c>
      <x:c r="N17" s="10" t="n">
        <x:v>0.764</x:v>
      </x:c>
      <x:c r="O17" s="10"/>
      <x:c r="P17" s="9"/>
      <x:c r="Q17" s="9"/>
      <x:c r="R17" s="10"/>
      <x:c r="S17" s="3" t="str">
        <x:v>未揭露可比基期；不倒推</x:v>
      </x:c>
      <x:c r="T17" s="3" t="str">
        <x:v>越南國家統計局，由政府新聞網公布</x:v>
      </x:c>
      <x:c r="U17" s="3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7" s="3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</x:sheetData>
  <x:pageMargins left="0.7" right="0.7" top="0.75" bottom="0.75" header="0.3" footer="0.3"/>
  <x:tableParts count="1">
    <x:tablePart xmlns:r="http://schemas.openxmlformats.org/officeDocument/2006/relationships" r:id="Rafd88d5d5a324037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3" t="str">
        <x:v>閱讀角度</x:v>
      </x:c>
      <x:c r="B2" s="3" t="str">
        <x:v>Advanced Energy Industries (NASDAQ: AEIS)。半導體設備精密電源、資料中心電源、工業客戶與區域服務；影響為編輯分析。</x:v>
      </x:c>
    </x:row>
    <x:row r="3" ht="15" hidden="0" customHeight="1">
      <x:c r="A3" s="3" t="str">
        <x:v>國家範圍</x:v>
      </x:c>
      <x:c r="B3" s="3" t="str">
        <x:v>聚焦台灣與東南亞。美國等國家只在直接連結台灣供應鏈時列為關聯地點。</x:v>
      </x:c>
    </x:row>
    <x:row r="4" ht="15" hidden="0" customHeight="1">
      <x:c r="A4" s="3" t="str">
        <x:v>日期</x:v>
      </x:c>
      <x:c r="B4" s="3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3" t="str">
        <x:v>市場動向</x:v>
      </x:c>
      <x:c r="B5" s="3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3" t="str">
        <x:v>數值與單位</x:v>
      </x:c>
      <x:c r="B6" s="3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3" t="str">
        <x:v>Base</x:v>
      </x:c>
      <x:c r="B7" s="3" t="str">
        <x:v>只填來源明示的同口徑基期。缺少則留空並註明，不從已四捨五入成長率反推精確基期。</x:v>
      </x:c>
    </x:row>
    <x:row r="8" ht="15" hidden="0" customHeight="1">
      <x:c r="A8" s="3" t="str">
        <x:v>YoY / QoQ</x:v>
      </x:c>
      <x:c r="B8" s="3" t="str">
        <x:v>分欄記錄來源公布的年增率與季增率。數值明細可能用不同列表示同一指標的不同比較口徑。</x:v>
      </x:c>
    </x:row>
    <x:row r="9" ht="15" hidden="0" customHeight="1">
      <x:c r="A9" s="3" t="str">
        <x:v>變動計算</x:v>
      </x:c>
      <x:c r="B9" s="3" t="str">
        <x:v>同口徑且基期可用時，金額變動＝本期減基期；變動率＝本期除基期減一。基期為零時變動率留空。</x:v>
      </x:c>
    </x:row>
    <x:row r="10" ht="15" hidden="0" customHeight="1">
      <x:c r="A10" s="3" t="str">
        <x:v>百分點</x:v>
      </x:c>
      <x:c r="B10" s="3" t="str">
        <x:v>比例或成長率的修訂以百分點表示。例如 GDP 預測由 10.35% 到 12.16%，增加 1.81 個百分點，並非年增 1.81%。</x:v>
      </x:c>
    </x:row>
    <x:row r="11" ht="15" hidden="0" customHeight="1">
      <x:c r="A11" s="3" t="str">
        <x:v>資料性質</x:v>
      </x:c>
      <x:c r="B11" s="3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3" t="str">
        <x:v>AEIS 影響</x:v>
      </x:c>
      <x:c r="B12" s="3" t="str">
        <x:v>來源沒有披露 AEIS 訂單或影響金額時保持未知，不以市場增幅直接推算公司收入。</x:v>
      </x:c>
    </x:row>
    <x:row r="13" ht="15" hidden="0" customHeight="1">
      <x:c r="A13" s="3" t="str">
        <x:v>背景資料</x:v>
      </x:c>
      <x:c r="B13" s="3" t="str">
        <x:v>CoWoS 與美光屬本週追蹤；越南 FDI 於 10/3 發布，非今日新統計。</x:v>
      </x:c>
    </x:row>
    <x:row r="14" ht="57.599998474121094" hidden="0" customHeight="1">
      <x:c r="A14" s="3" t="str">
        <x:v>來源限制</x:v>
      </x:c>
      <x:c r="B14" s="3" t="str">
        <x:v>本期聚焦台灣與東南亞，更新至台北時間 10 月 17 日晚間。CoWoS、美光及越南 10 月 3 日 FDI 資料明列為本週追蹤或區域背景。展示規格、友達目標、園區估算與 GDP 預測均非實際訂單。友達及馬來西亞園區數字依具名採訪；胡志明市電價依專業報導，未取得原始會議文件或最終費率，屬來源受限。AEIS 影響評估為編輯分析，未披露的訂單與金額保持未知。Excel 缺少基期時保留空白及原因，YoY 與百分點分開。</x:v>
      </x:c>
    </x:row>
    <x:row r="15" ht="28.799999237060547" hidden="0" customHeight="1">
      <x:c r="A15" s="3" t="str">
        <x:v>AEIS 業務背景</x:v>
      </x:c>
      <x:c r="B15" s="3" t="str">
        <x:v>https://ir.advancedenergy.com/media/document/fcbde7e4-483b-4dcc-93cc-985a436746b5/assets/2026-09_AEIS_IR_Presentation.pdf</x:v>
      </x:c>
    </x:row>
    <x:row r="16" ht="15" hidden="0" customHeight="1">
      <x:c r="A16" s="3" t="str">
        <x:v>資料更新</x:v>
      </x:c>
      <x:c r="B16" s="3" t="d">
        <x:v>2026-10-17T10:45:57.185Z</x:v>
      </x:c>
    </x:row>
  </x:sheetData>
  <x:pageMargins left="0.7" right="0.7" top="0.75" bottom="0.75" header="0.3" footer="0.3"/>
  <x:tableParts count="1">
    <x:tablePart xmlns:r="http://schemas.openxmlformats.org/officeDocument/2006/relationships" r:id="R8f4e515f2399424a"/>
  </x:tableParts>
</x:worksheet>
</file>